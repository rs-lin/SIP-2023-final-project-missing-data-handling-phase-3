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boehringer.sharepoint.com/sites/z365uconnsummeracademy/Shared Documents/General/UConn/2020/Homework/data_phase 3/"/>
    </mc:Choice>
  </mc:AlternateContent>
  <bookViews>
    <workbookView xWindow="8235" yWindow="-75" windowWidth="7755" windowHeight="7800"/>
  </bookViews>
  <sheets>
    <sheet name="START" sheetId="54" r:id="rId1"/>
    <sheet name="Version History" sheetId="44" state="veryHidden" r:id="rId2"/>
    <sheet name="Header" sheetId="9" state="veryHidden" r:id="rId3"/>
    <sheet name="Datasets" sheetId="53" state="veryHidden" r:id="rId4"/>
    <sheet name="Document Links" sheetId="63" state="veryHidden" r:id="rId5"/>
    <sheet name="CT" sheetId="2" state="veryHidden" r:id="rId6"/>
    <sheet name="EXTCT" sheetId="12" state="veryHidden" r:id="rId7"/>
    <sheet name="ADSL" sheetId="62" state="veryHidden" r:id="rId8"/>
    <sheet name="ADPA" sheetId="50" state="veryHidden" r:id="rId9"/>
    <sheet name="ADAE" sheetId="64" state="veryHidden" r:id="rId10"/>
  </sheets>
  <functionGroups builtInGroupCount="18"/>
  <definedNames>
    <definedName name="_xlnm._FilterDatabase" localSheetId="8" hidden="1">ADPA!$B$1:$C$86</definedName>
    <definedName name="_xlnm._FilterDatabase" localSheetId="5" hidden="1">CT!$A$1:$B$1</definedName>
    <definedName name="_xlnm._FilterDatabase" localSheetId="3" hidden="1">Datasets!$B$1:$B$2</definedName>
    <definedName name="_xlnm._FilterDatabase" localSheetId="6" hidden="1">EXTCT!$C$1:$C$33</definedName>
    <definedName name="cellhelp">INDIRECT(CELL("address"))</definedName>
    <definedName name="_xlnm.Print_Area" localSheetId="8">ADPA!$A$1:$S$47</definedName>
    <definedName name="_xlnm.Print_Area" localSheetId="2">Header!$A$1:$H$2</definedName>
    <definedName name="_xlnm.Print_Titles" localSheetId="8">ADPA!$1:$1</definedName>
    <definedName name="_xlnm.Print_Titles" localSheetId="5">CT!$1:$1</definedName>
  </definedNames>
  <calcPr calcId="162913"/>
</workbook>
</file>

<file path=xl/calcChain.xml><?xml version="1.0" encoding="utf-8"?>
<calcChain xmlns="http://schemas.openxmlformats.org/spreadsheetml/2006/main">
  <c r="J12" i="50" l="1"/>
  <c r="J13" i="50" l="1"/>
  <c r="J8" i="62" l="1"/>
  <c r="J7" i="62" l="1"/>
  <c r="J6" i="62"/>
  <c r="Q3" i="62" l="1"/>
  <c r="Q4" i="62" s="1"/>
  <c r="Q5" i="62" s="1"/>
  <c r="Q6" i="62" s="1"/>
  <c r="Q7" i="62" s="1"/>
  <c r="Q8" i="62" s="1"/>
  <c r="Q9" i="62" s="1"/>
  <c r="Q10" i="62" s="1"/>
  <c r="Q11" i="62" s="1"/>
  <c r="Q13" i="62" s="1"/>
  <c r="Q12" i="62" s="1"/>
  <c r="Q14" i="62" s="1"/>
  <c r="Q15" i="62" s="1"/>
  <c r="Q16" i="62" s="1"/>
  <c r="Q17" i="62" s="1"/>
  <c r="Q18" i="62" s="1"/>
  <c r="Q19" i="62" s="1"/>
  <c r="Q20" i="62" s="1"/>
  <c r="Q21" i="62" s="1"/>
  <c r="Q22" i="62" s="1"/>
  <c r="Q23" i="62" s="1"/>
  <c r="Q24" i="62" s="1"/>
  <c r="Q25" i="62" s="1"/>
  <c r="Q26" i="62" s="1"/>
  <c r="Q27" i="62" s="1"/>
  <c r="Q28" i="62" s="1"/>
  <c r="J16" i="62"/>
  <c r="J15" i="62"/>
  <c r="J14" i="62"/>
  <c r="A3" i="53" l="1"/>
  <c r="A2" i="53"/>
  <c r="A1" i="50" l="1"/>
</calcChain>
</file>

<file path=xl/comments1.xml><?xml version="1.0" encoding="utf-8"?>
<comments xmlns="http://schemas.openxmlformats.org/spreadsheetml/2006/main">
  <authors>
    <author>Nicola Tambascia</author>
  </authors>
  <commentList>
    <comment ref="A1" authorId="0" shapeId="0">
      <text>
        <r>
          <rPr>
            <sz val="8"/>
            <color indexed="81"/>
            <rFont val="Tahoma"/>
            <family val="2"/>
          </rPr>
          <t>The short, external name assigned to the Study
• Specify the study number, e.g. 1160_0026
   • If the PADS plan is used as a substance specific ADS 
      plan specify the study number followed by a hyphen "-"
      and the project, e.g. 1160_0026-P1
• Enter CLINSITE if a Summary Level Clinical Site Dataset should be prepared
• Required attribute
• Used as input for the define.xml</t>
        </r>
      </text>
    </comment>
    <comment ref="B1" authorId="0" shapeId="0">
      <text>
        <r>
          <rPr>
            <sz val="8"/>
            <color indexed="81"/>
            <rFont val="Tahoma"/>
            <family val="2"/>
          </rPr>
          <t>Study description as usually found in the high level description of the study in the Protocol document
• Required attribute
• Used as input for the define.xml</t>
        </r>
      </text>
    </comment>
    <comment ref="C1" authorId="0" shapeId="0">
      <text>
        <r>
          <rPr>
            <sz val="8"/>
            <color indexed="81"/>
            <rFont val="Tahoma"/>
            <family val="2"/>
          </rPr>
          <t>Protocol Name as usually found in the high level description of the study in the Protocol document
• list applicable Protocol Names if StudyName=CLINSITE
• Required attribute
• Used as input for the define.xml</t>
        </r>
      </text>
    </comment>
    <comment ref="D1" authorId="0" shapeId="0">
      <text>
        <r>
          <rPr>
            <sz val="8"/>
            <color indexed="81"/>
            <rFont val="Tahoma"/>
            <family val="2"/>
          </rPr>
          <t>Name of the CDISC Standard used for the ADSs
• Must be left empty if StudyName=CLINSITE
• Required attribute
• Standard value for ADSs: ADaM-IG
• Used as input for the define.xml</t>
        </r>
      </text>
    </comment>
    <comment ref="E1" authorId="0" shapeId="0">
      <text>
        <r>
          <rPr>
            <sz val="8"/>
            <color indexed="81"/>
            <rFont val="Tahoma"/>
            <family val="2"/>
          </rPr>
          <t>Version number of the underlying CDISC Standard
• Must be left empty if StudyName=CLINSITE
• Required attribute
• Prepopulated value may be replaced by a higher version number, if an updated version of the ADaM-IG will be available
• Used as input for the define.xml</t>
        </r>
      </text>
    </comment>
    <comment ref="F1" authorId="0" shapeId="0">
      <text>
        <r>
          <rPr>
            <sz val="8"/>
            <color indexed="81"/>
            <rFont val="Tahoma"/>
            <family val="2"/>
          </rPr>
          <t xml:space="preserve">List of filenames of CDISC Controlled Terminology XML files incl. their path on the BI file server
• Separator: ;
• Required reference information
• Used as input for the define.xml macro in order to determine the sources for the NCI C-Codes of CDISC CTs and CDISC CT values which are Define-XML v2.0 required CT attributes </t>
        </r>
      </text>
    </comment>
    <comment ref="G1" authorId="0" shapeId="0">
      <text>
        <r>
          <rPr>
            <sz val="8"/>
            <color indexed="81"/>
            <rFont val="Tahoma"/>
            <family val="2"/>
          </rPr>
          <t>Information that will be added to define.xml file identifier (FileOID).
• Optional attribute
• Should be used if multiple version of define.xml have to be produced for a single trial (i.e. interim analysis and final analysis).
• If specified, used as input for define.xml</t>
        </r>
      </text>
    </comment>
    <comment ref="H1" authorId="0" shapeId="0">
      <text>
        <r>
          <rPr>
            <sz val="8"/>
            <color indexed="81"/>
            <rFont val="Tahoma"/>
            <family val="2"/>
          </rPr>
          <t>The date and time in ISO8601 format at which the source database was queried to create this document.
• Optional attribute
• May be used if data snapshots are submitted (e.g. excluding follow-up phase).
• If specified, used as input for the define.xml</t>
        </r>
      </text>
    </comment>
  </commentList>
</comments>
</file>

<file path=xl/comments2.xml><?xml version="1.0" encoding="utf-8"?>
<comments xmlns="http://schemas.openxmlformats.org/spreadsheetml/2006/main">
  <authors>
    <author>tambasci</author>
    <author>Nicola Tambascia</author>
    <author>Monika Kawohl</author>
  </authors>
  <commentList>
    <comment ref="A1" authorId="0" shapeId="0">
      <text>
        <r>
          <rPr>
            <sz val="8"/>
            <color indexed="81"/>
            <rFont val="Tahoma"/>
            <family val="2"/>
          </rPr>
          <t>Name of ADS.
• Must not be longer than 8 characters
• Use ADaM or BI standard names if applicable
• The first two characters must be “AD”
• Special characters such as &lt;, &gt;, “, ‘, &amp;, blanks must not be used in this column
• Used as input for the define.xml</t>
        </r>
      </text>
    </comment>
    <comment ref="B1" authorId="1" shapeId="0">
      <text>
        <r>
          <rPr>
            <sz val="8"/>
            <color indexed="81"/>
            <rFont val="Tahoma"/>
            <family val="2"/>
          </rPr>
          <t>Specifies the list of studies the row belongs to
• If the dataset metadata in any column that is marked as “used for define.xml”,  varies for a specific study, a specific metadata row for that study has to be created
• Study values should comply with the values entered in the "StudyName" column of the Header sheet
• Separator: ;
• Used as input for the define.xml</t>
        </r>
      </text>
    </comment>
    <comment ref="C1" authorId="0" shapeId="0">
      <text>
        <r>
          <rPr>
            <sz val="8"/>
            <color indexed="81"/>
            <rFont val="Tahoma"/>
            <family val="2"/>
          </rPr>
          <t>Description / Label of ADS.
• Must not be longer than 40 characters.
• Use ADaM and BI standard ADS labels if applicable.
• Should not include
  - Unbalanced apostrophes or quotes, e.g., "Parkinson's"
  - Unbalanced parentheses, braces or brackets, e.g., "(", "[", "{"
  - "&lt;", "&gt;"
• Used as input for the define.xml.</t>
        </r>
      </text>
    </comment>
    <comment ref="D1" authorId="0" shapeId="0">
      <text>
        <r>
          <rPr>
            <sz val="8"/>
            <color indexed="81"/>
            <rFont val="Tahoma"/>
            <family val="2"/>
          </rPr>
          <t>The description of the dataset structure (e.g.: ‘One record per subject per visit).
• The “Dataset Structure” description should be compatible with the key variables entered in the “Key Variables of Dataset” column.
• Special characters such as &lt;, &gt;, “, ‘, &amp; must not be used in this column.
• Used as input for the define.xml.</t>
        </r>
      </text>
    </comment>
    <comment ref="F1" authorId="0" shapeId="0">
      <text>
        <r>
          <rPr>
            <sz val="8"/>
            <color indexed="81"/>
            <rFont val="Tahoma"/>
            <family val="2"/>
          </rPr>
          <t>The class of dataset specified by ADaM.
• Valid values:
  - SUBJECT LEVEL ANALYSIS DATASET
  - BASIC DATA STRUCTURE
  - ADAM OTHER
  - OCCURRENCE DATA STRUCTURE
• Must be left empty if Used By Study=CLINSITE
• Used as input for the define.xml.</t>
        </r>
      </text>
    </comment>
    <comment ref="G1" authorId="0" shapeId="0">
      <text>
        <r>
          <rPr>
            <sz val="8"/>
            <color indexed="81"/>
            <rFont val="Tahoma"/>
            <family val="2"/>
          </rPr>
          <t>A path that points to the physical location of the ADS.
• use global Linux environment variables (such as $RXC_SAS_DATA) with information on which server (CRO or internal) and SAS version the ADS has been created, e.g.
• Linux backend folder for trial ADSs on internal server, SAS 9
$RXC_SAS_DATA (Int) (SAS 9)
• Not used as input for the define.xml</t>
        </r>
      </text>
    </comment>
    <comment ref="H1" authorId="0" shapeId="0">
      <text>
        <r>
          <rPr>
            <sz val="8"/>
            <color indexed="81"/>
            <rFont val="Tahoma"/>
            <family val="2"/>
          </rPr>
          <t>Any additional supportive BI internal information
• Fill it with information that might be helpful for the BI reviewer or the programmer.
• Links in the BI internal network can be used
• Not used as input for the define.xml.</t>
        </r>
      </text>
    </comment>
    <comment ref="I1" authorId="0" shapeId="0">
      <text>
        <r>
          <rPr>
            <sz val="8"/>
            <color indexed="81"/>
            <rFont val="Tahoma"/>
            <family val="2"/>
          </rPr>
          <t xml:space="preserve">Additional documentation of the ADS in general in aid of regulatory review in text form
• Optional field
• Please provide further details on the primary variable of interest for the respective dataset
• Used as input for the define.xml.
</t>
        </r>
      </text>
    </comment>
    <comment ref="J1" authorId="2" shapeId="0">
      <text>
        <r>
          <rPr>
            <sz val="8"/>
            <color indexed="81"/>
            <rFont val="Tahoma"/>
            <family val="2"/>
          </rPr>
          <t>List of Link IDs for additional documentation of the ADS available in external documents included in the submission 
• If multiple link IDs are specified, use a semicolon (";") as a list separator (e.g., "DATAGUIDE5; SAP25")
• All Document IDs referenced here must be declared in the "Document Links" Sheet
• Optional field
• Used as input for the define.xml.</t>
        </r>
      </text>
    </comment>
    <comment ref="K1" authorId="2" shapeId="0">
      <text>
        <r>
          <rPr>
            <sz val="8"/>
            <color indexed="81"/>
            <rFont val="Tahoma"/>
            <family val="2"/>
          </rPr>
          <t>List of target page numbers for the hyperlinks to the external documents as referenced by the IDs provided in "External Document References"
• List separator: ;
• Number and order of list elements must match the contents of the "External Document References" column  (e.g. 5; 25)
• Optional field
• Used as input for define.xml</t>
        </r>
      </text>
    </comment>
    <comment ref="L1" authorId="0" shapeId="0">
      <text>
        <r>
          <rPr>
            <sz val="8"/>
            <color indexed="81"/>
            <rFont val="Tahoma"/>
            <family val="2"/>
          </rPr>
          <t>Sort order of the ADSs for the define.xml
• If left empty, ADSL will always appear first, the remaining datasets will be sorted alphabetically in the define.xml
• Used as input for the define.xml</t>
        </r>
      </text>
    </comment>
  </commentList>
</comments>
</file>

<file path=xl/comments3.xml><?xml version="1.0" encoding="utf-8"?>
<comments xmlns="http://schemas.openxmlformats.org/spreadsheetml/2006/main">
  <authors>
    <author>tambasci</author>
    <author>Nicola Tambascia</author>
    <author>Monika Kawohl</author>
  </authors>
  <commentList>
    <comment ref="A1" authorId="0" shapeId="0">
      <text>
        <r>
          <rPr>
            <sz val="8"/>
            <color indexed="81"/>
            <rFont val="Tahoma"/>
            <family val="2"/>
          </rPr>
          <t>The name of the controlled terminology (CT) as it was referenced by variables in any &lt;Analysis Dataset Name&gt; sheet.
• Used as ID to create a link to the variable metadata or parameter value-level metadata.
• Special characters such as &lt;, &gt;, “, ‘, &amp;, blanks must not be used in this column
• The CT Name is case sensitive
• If used to create SAS formats, it must adhere to SAS 9 format naming rules (e.g. must not be longer than 32  characters, names for character controlled terminologies must start with a “$”)
• If used to create SAS formats, it should follow the naming convention for SAS formats stated in the BI GPP
• The PADS plan contains the ADaM Controlled Terminology values as of 2014-09-26, Studies should use the values Controlled Terminology values for their version specified in the "Header" sheet
• Used as input for the define.xml</t>
        </r>
        <r>
          <rPr>
            <b/>
            <sz val="8"/>
            <color indexed="81"/>
            <rFont val="Tahoma"/>
            <family val="2"/>
          </rPr>
          <t xml:space="preserve">
</t>
        </r>
      </text>
    </comment>
    <comment ref="B1" authorId="1" shapeId="0">
      <text>
        <r>
          <rPr>
            <sz val="8"/>
            <color indexed="81"/>
            <rFont val="Tahoma"/>
            <family val="2"/>
          </rPr>
          <t>Specifies the list of studies the row belongs to
• If the CT metadata in any column that is marked as “used for define.xml”,  varies for a specific study, a specific metadata row for that study has to be created
• Study values should comply with the values entered in the "StudyName" column of the Header sheet
• Separator: ;
• Used as input for the define.xml</t>
        </r>
      </text>
    </comment>
    <comment ref="C1" authorId="2" shapeId="0">
      <text>
        <r>
          <rPr>
            <sz val="8"/>
            <color indexed="81"/>
            <rFont val="Tahoma"/>
            <family val="2"/>
          </rPr>
          <t>NCI/CDISC Controlled Terminology (CT) name as specified in the CDISC Controlled Terminology files listed in the "Header" sheet (General Study Parameter: CDISC CT File References)
• Used to derive the required NCI C-Codes for terminologies and values from the provided controlled terminology reference files.
• Must be populated for any CTs based on CDISC terminologies
• Must be left empty for sponsor specific CTs
• There must be 1 to 1 map between CT Name and NCI/CDISC CT Name 
• The name specified here must exactly match the Codelist Name (incl. casing) in the NCI/CDISC Terminology files, e.g. "No Yes Response" for $NYC.
• If different subsets of CDISC CTs are needed from different variables, apply the following naming convention: "Main name [subset specification]", e.g. "No Yes Response [Subset: Y]"
• Used as input for the define.xml</t>
        </r>
      </text>
    </comment>
    <comment ref="D1" authorId="0" shapeId="0">
      <text>
        <r>
          <rPr>
            <sz val="8"/>
            <color indexed="81"/>
            <rFont val="Tahoma"/>
            <family val="2"/>
          </rPr>
          <t>The ODM data type of controlled terminology (CT).
• The types are:
o text for CTs with textual code values
o integer for CTs containing only numbers without a decimal point as code values
o float for CTs with non-integer code values
• The type applies to all values of a CT.
• Type should match the type of the variables in any &lt;Analysis Dataset&gt; sheet where the CT is referenced.
• Used as input for the define.xml</t>
        </r>
      </text>
    </comment>
    <comment ref="E1" authorId="0" shapeId="0">
      <text>
        <r>
          <rPr>
            <sz val="8"/>
            <color indexed="81"/>
            <rFont val="Tahoma"/>
            <family val="2"/>
          </rPr>
          <t>The sort order of the values within a CT.
• Sort number should be unique for each value within a CT.
• Also used as the sorting order for the define.xml.
• Should be numeric.
• Used as input for the define.xml</t>
        </r>
      </text>
    </comment>
    <comment ref="F1" authorId="0" shapeId="0">
      <text>
        <r>
          <rPr>
            <sz val="8"/>
            <color indexed="81"/>
            <rFont val="Tahoma"/>
            <family val="2"/>
          </rPr>
          <t>The individual codes/valid values for the CT 
• Specify one row per code value per CT
• Each code value must be unique within a CT
• All possible code values should be present in the CT definition 
• Code values are case sensitive
• Used as input for the define.xml</t>
        </r>
      </text>
    </comment>
    <comment ref="G1" authorId="0" shapeId="0">
      <text>
        <r>
          <rPr>
            <sz val="8"/>
            <color indexed="81"/>
            <rFont val="Tahoma"/>
            <family val="2"/>
          </rPr>
          <t>Decode value of the code value entered in column code.
• If the CT represents a codelist, specify the decode value for the code here. A Decode must be provided for each row of the given Codelist CT
• If the CT represents a list of valid values (enumerated items) that are self-explanatory, leave the decode column blank for each row of the given CT
• Used as input for the define.xml</t>
        </r>
      </text>
    </comment>
  </commentList>
</comments>
</file>

<file path=xl/comments4.xml><?xml version="1.0" encoding="utf-8"?>
<comments xmlns="http://schemas.openxmlformats.org/spreadsheetml/2006/main">
  <authors>
    <author>tambasci</author>
    <author>Monika Kawohl</author>
    <author>Nicola Tambascia</author>
  </authors>
  <commentList>
    <comment ref="A1" authorId="0" shapeId="0">
      <text>
        <r>
          <rPr>
            <sz val="8"/>
            <color indexed="81"/>
            <rFont val="Tahoma"/>
            <family val="2"/>
          </rPr>
          <t>The refernce Name (e.g. “AEDICT”) of the External codelist as it was referenced by variables in any &lt;Analysis Dataset&gt;  worksheet.
• Standard CT Names for external dictionaries are:
o $AEDICT for coded variables in adverse events ADS.
o $MHDICT for coded variables in medical history ADS.
o $DRUDICT for coded variables in concomitant medication ADS
• The CT Name must not be longer than 32 characters
• Special characters such as &lt;, &gt;, “, ‘, &amp;, blanks must not be used in this column.
• The CT Name is case sensitive.
• Used as input for the define.xml</t>
        </r>
      </text>
    </comment>
    <comment ref="B1" authorId="1" shapeId="0">
      <text>
        <r>
          <rPr>
            <sz val="8"/>
            <color indexed="81"/>
            <rFont val="Tahoma"/>
            <family val="2"/>
          </rPr>
          <t>A descriptive name of the dictionary purpose
• Standard CT Descriptive Names for external dictionaries are:
   o Adverse Event Dictionary used for adverse event ADS
   o Medical History Dictionary used for medical history ADS
   o Drug Dictionary used, e.g., for concomitant medication ADS
• Used as input for the define.xml</t>
        </r>
      </text>
    </comment>
    <comment ref="C1" authorId="2" shapeId="0">
      <text>
        <r>
          <rPr>
            <sz val="8"/>
            <color indexed="81"/>
            <rFont val="Tahoma"/>
            <family val="2"/>
          </rPr>
          <t>Specifies the list of studies the row belongs to
• If the EXTCT metadata in any column that is marked as “used for define.xml”,  varies for a specific study, a specific metadata row for that study has to be created
• Study values should comply with the values entered in the "StudyName" column of the Header sheet
• Separator: ;
• Used as input for the define.xml</t>
        </r>
      </text>
    </comment>
    <comment ref="D1" authorId="0" shapeId="0">
      <text>
        <r>
          <rPr>
            <sz val="8"/>
            <color indexed="81"/>
            <rFont val="Tahoma"/>
            <family val="2"/>
          </rPr>
          <t xml:space="preserve">The name of the dictionary used for the coded ADS variables (e.g. “MedDRA”).
• Standards names for external dictionaries are:
o MedDRA for the MedDRA external dictionary.
o WHODRUG for the WHODRUG dictionary.
• Used as input for the define.xml.
</t>
        </r>
      </text>
    </comment>
    <comment ref="E1" authorId="0" shapeId="0">
      <text>
        <r>
          <rPr>
            <sz val="8"/>
            <color indexed="81"/>
            <rFont val="Tahoma"/>
            <family val="2"/>
          </rPr>
          <t>The version of the dictionary (e.g. ‘2011Q1’ for WHODRUG or ‘14.0’ for MedDRA).
• Used as input for the define.xml.</t>
        </r>
      </text>
    </comment>
    <comment ref="F1" authorId="0" shapeId="0">
      <text>
        <r>
          <rPr>
            <sz val="8"/>
            <color indexed="81"/>
            <rFont val="Tahoma"/>
            <family val="2"/>
          </rPr>
          <t xml:space="preserve">The dictionary data type.
o text is used for external dictionaries containing textual code values.
o integer is used for external dictionaries containing only numbers without a decimal point.
o float is used for external dictionaries containing non-integer numbers .
• Used as input for the define.xml.
</t>
        </r>
      </text>
    </comment>
  </commentList>
</comments>
</file>

<file path=xl/comments5.xml><?xml version="1.0" encoding="utf-8"?>
<comments xmlns="http://schemas.openxmlformats.org/spreadsheetml/2006/main">
  <authors>
    <author>Nicola Tambascia</author>
  </authors>
  <commentList>
    <comment ref="C1" authorId="0" shapeId="0">
      <text>
        <r>
          <rPr>
            <sz val="8"/>
            <color indexed="81"/>
            <rFont val="Tahoma"/>
            <family val="2"/>
          </rPr>
          <t>Specifies the list of studies the row belongs to
• If the variable or parameter value level metadata in any column that is marked as "used for define.xml", varies for a specific study, a specific metadata row for that study has to be created
• Study values should comply with the values entered in the "StudyName" column of the Header sheet
• Separator: ;
• Used as input for the define.xml</t>
        </r>
      </text>
    </comment>
  </commentList>
</comments>
</file>

<file path=xl/comments6.xml><?xml version="1.0" encoding="utf-8"?>
<comments xmlns="http://schemas.openxmlformats.org/spreadsheetml/2006/main">
  <authors>
    <author>Nicola Tambascia</author>
  </authors>
  <commentList>
    <comment ref="A1" authorId="0" shapeId="0">
      <text>
        <r>
          <rPr>
            <sz val="8"/>
            <color indexed="81"/>
            <rFont val="Tahoma"/>
            <family val="2"/>
          </rPr>
          <t xml:space="preserve">• Contains the name of the ADS.
• The dataset name must be equal for each variable within an ADS.
• It must not be longer than 8 characters.
• Special characters such as &lt;, &gt;, “, ‘, &amp;, blanks must not be used in this column.
• Used as input for the define.xml.
</t>
        </r>
      </text>
    </comment>
    <comment ref="B1" authorId="0" shapeId="0">
      <text>
        <r>
          <rPr>
            <sz val="8"/>
            <color indexed="81"/>
            <rFont val="Tahoma"/>
            <family val="2"/>
          </rPr>
          <t>Indicator whether the metadata row applies to the variable in general (i.e. *ALL*) or to a specified subset of records of that variable (e.g. PARAMCD EQ "BILI").
• All variables in the ADS must have a row where this column is populated with "* ALL *".
• In many cases, analysis is performed on subsets of records of a variable in a BDS type dataset. These subsets could be specified by distinct values in the PARAMCD variable (i.e. "BILI", "HCT", etc). For example, every row in the dataset that has a PARAMCD="BILI" value, would belong to that subset of the variable specified by the "Variable Name" column. Using a specification of PARAMCD EQ "BILI" in this column would accomplish that.
• Each subset of a variable can have different metadata. You can specify other variable names for sub-setting or other types of where conditions (e.g. PARAMCD IN ("HCT", "ALT", "AST"), PARAMCD IN("ALT","AST") AND DTYPE EQ "LOCF")
• Restrictions for expressing where condition:
- valid comparators: LT, LE, GT, GE, EQ NE, IN, NOTIN
- valid join operators: AND
• Used as input for the define.xml.</t>
        </r>
      </text>
    </comment>
    <comment ref="C1" authorId="0" shapeId="0">
      <text>
        <r>
          <rPr>
            <sz val="8"/>
            <color indexed="81"/>
            <rFont val="Tahoma"/>
            <family val="2"/>
          </rPr>
          <t>Specifies the list of studies the row belongs to
• If the variable or parameter value level metadata in any column that is marked as "used for define.xml", varies for a specific study, a specific metadata row for that study has to be created
• Study values should comply with the values entered in the "StudyName" column of the Header sheet
• Separator: ;
• Used as input for the define.xml</t>
        </r>
      </text>
    </comment>
    <comment ref="D1" authorId="0" shapeId="0">
      <text>
        <r>
          <rPr>
            <sz val="8"/>
            <color indexed="81"/>
            <rFont val="Tahoma"/>
            <family val="2"/>
          </rPr>
          <t>Indicator for key variables and their order for dataset sorting
• To be populated with integer values for key variables (e.g., 1 for STUDYID, 2 for USUBJID,3 for AVISITN, 4 for PARAMCD)
• Empty for non-key variables
• Used as input for the define.xml</t>
        </r>
      </text>
    </comment>
    <comment ref="E1" authorId="0" shapeId="0">
      <text>
        <r>
          <rPr>
            <sz val="8"/>
            <color indexed="81"/>
            <rFont val="Tahoma"/>
            <family val="2"/>
          </rPr>
          <t xml:space="preserve">• Contains the name of the variable. 
• It must not be longer than 8 characters.
• Special characters such as &lt;, &gt;, “, ‘, &amp;, blanks must not be used in this column.
• Use ADaM or BI standard variable names where applicable.
• Used as input for the define.xml.
</t>
        </r>
      </text>
    </comment>
    <comment ref="F1" authorId="0" shapeId="0">
      <text>
        <r>
          <rPr>
            <sz val="8"/>
            <color indexed="81"/>
            <rFont val="Tahoma"/>
            <family val="2"/>
          </rPr>
          <t>• Contains the label of the variable.
• It must not have more than 40 characters and it should give a brief description of the variable. 
• Use ADaM or BI standard variable labels where applicable.
• Should not include
  - Unbalanced apostrophes or quotes, e.g., "Parkinson's"
  - Unbalanced parentheses, braces or brackets, e.g., "(", "[", "{"
  - "&lt;", "&gt;"
• Should be left empty if metadata for a variable should be copied from another &lt;Analysis Dataset&gt; sheet, e.g. ADSL, by the define.xml macro.
• Used as input for the define.xml.</t>
        </r>
      </text>
    </comment>
    <comment ref="G1" authorId="0" shapeId="0">
      <text>
        <r>
          <rPr>
            <sz val="8"/>
            <color indexed="81"/>
            <rFont val="Tahoma"/>
            <family val="2"/>
          </rPr>
          <t>The ODM data type of a variable
• The valid values for ODM data type are
o text: for character variables
o integer: for numeric variables without a decimal point. Note: integer should be used for numeric date/time variables.
o float: for non-integer numeric variables. Note: float should also be used for numeric analysis time and datetime variables containing milliseconds.
o date: for date variables copied from SDTM
o datetime: for datetime variables copied from SDTM
o time: for time variables copied from SDTM
o partialTime: for respective variables copied from SDTM
o partialDate: for respective variables copied from SDTM
o partialDatetime: for respective variables copied from SDTM
o incompleteDatetime: for respective variables copied from SDTM
o durationDatetime: for respective variables copied from SDTM
• Should be left empty if metadata for a variable should be copied from another &lt;Analysis Dataset&gt; sheet, e.g. ADSL, by the define.xml macro.
• Used as input for the define.xml.</t>
        </r>
      </text>
    </comment>
    <comment ref="H1" authorId="0" shapeId="0">
      <text>
        <r>
          <rPr>
            <sz val="8"/>
            <color indexed="81"/>
            <rFont val="Tahoma"/>
            <family val="2"/>
          </rPr>
          <t>• Contains the length of a variable.
• For numeric variables the maximum length is 8
• For text variables the maximum length is 200.
• Should be numeric.
• Required for variables of type integer, float and text.
• Should be left empty if metadata for a variable should be copied from another &lt;Analysis Dataset&gt; sheet, e.g. ADSL, by the define.xml macro
• Depending on whether the retrospective automatic adaptation to the maximum required length is chosen or not, this column is not used or used as input for the define.xml, respectively</t>
        </r>
      </text>
    </comment>
    <comment ref="I1" authorId="0" shapeId="0">
      <text>
        <r>
          <rPr>
            <sz val="8"/>
            <color indexed="81"/>
            <rFont val="Tahoma"/>
            <family val="2"/>
          </rPr>
          <t>Contains the variable display information (i.e., the SAS display format used for the variable)
• The syntax should be consistent with the format terminology incorporated in SAS (e.g., 4.1, date9.).
• Required for variables of data type float or numeric date (-DT), time (-TM) or datetime (-DTM) variables
• No user defined formats are allowed.
• Special characters such as &lt;, &gt;, “, ‘, &amp;, blanks must not be used in this column.
• Should be left empty if metadata for a variable should be copied from another &lt;Analysis Dataset&gt; sheet, e.g. ADSL, by the define.xml macro
• Used as input for the define.xml</t>
        </r>
      </text>
    </comment>
    <comment ref="J1" authorId="0" shapeId="0">
      <text>
        <r>
          <rPr>
            <sz val="8"/>
            <color indexed="81"/>
            <rFont val="Tahoma"/>
            <family val="2"/>
          </rPr>
          <t>The reference name of a controlled terminology list or external dictionary.
• This column can either specify a reference to a list of possible values or to an external dictionary. 
• The reference name is used as an ID for linking to the “CT” and “EXTCT” sheet. 
• The reference names must not be longer than 32 characters. 
• If used for SAS formats, names for character controlled terminology lists should begin with a “$”.
• The specified reference name must also be defined in the “CT” and “EXTCT” sheet. 
• References to an external dictionary are used for dictionary coded variables. The references should have a “DICT” suffix. They are also restricted to 32 characters.
• Special characters such as &lt;, &gt;, “, ‘, &amp;, blanks must not be used in this column.
• The CT Name is case sensitive.
• If used for SAS formats, the CT Name should follow the naming convention for SAS formats stated in the BI GPP.
• Should be left empty if metadata for a variable should be copied from another &lt;Analysis Dataset&gt; sheet, e.g. ADSL, by the define.xml macro
• Used as input for the define.xml.</t>
        </r>
      </text>
    </comment>
    <comment ref="K1" authorId="0" shapeId="0">
      <text>
        <r>
          <rPr>
            <sz val="8"/>
            <color indexed="81"/>
            <rFont val="Tahoma"/>
            <family val="2"/>
          </rPr>
          <t>The origin of a variable
• High level categorization of the variable into the following values:
-Predecessor: Variable copied from another dataset (e.g. ADSL.SAFFL, LB.LBSTRESN [LBTESTCD="HCT"])
-Assigned: Variable values are assigned
 (typically used for PARAM, PARAMCD and numeric counterparts for character variables (e.g., SEXN: 1 for male, 2 for female)).
-Derived: Derived information (e.g., ADUR = ASTDT - AENDT +1)
• Should be set to 'Predecessor' if metadata for a variable should be copied from another &lt;Analysis Dataset&gt; sheet, e.g. ADSL, by the define.xml macro
• Must be left empty for the variable metadata row of variables which are further specified by parameter value level metadata rows
• Used as input for the define.xml</t>
        </r>
      </text>
    </comment>
    <comment ref="L1" authorId="0" shapeId="0">
      <text>
        <r>
          <rPr>
            <sz val="8"/>
            <color indexed="81"/>
            <rFont val="Tahoma"/>
            <family val="2"/>
          </rPr>
          <t>Specification of the source data that was used or how the variable was derived
• This column essentially describes the variable’s lineage, i.e., where the variable values came from (e.g. DM.USUBJID) or how the variable was derived.
• For variables with Origin=Predecessor specify the source as follows: &lt;source variable&gt; [&lt;subset sepcification if necessary&gt;], (e.g. ADSL.SAFFL, LB.LBSTRESN [LBTESTCD
• It can also be used to describe a complex algorithm.
• In case of very lengthy derivation, consider specifying a reference to the data guide (see column "External Document References") and provide more details there.
• Plain text/simple pseudocode that can be easily understood by reviewers should be used to describe the data source or derivation (for examples see PADS description document).
• Pure SAS code is not allowed in this column
• Must contain the specification of the source variable (e.g. ADSL.SAFFL) if metadata like variable label, length and type should be copied from the specified source variable.
• Used as input for the define.xml</t>
        </r>
      </text>
    </comment>
    <comment ref="M1" authorId="0" shapeId="0">
      <text>
        <r>
          <rPr>
            <sz val="8"/>
            <color indexed="81"/>
            <rFont val="Tahoma"/>
            <family val="2"/>
          </rPr>
          <t>List of Link IDs for additional documentation of the variable available in external documents included in the submission
• If multiple link IDs ar specified, use a semicolon (";") as a list separator (e.g., "DATAGUIDE5; SAP25")
• All Document IDs referenced here must be declared in the "Document Links" Sheet
• Optional field
• Used as input for the define.xml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>List of target page numbers for the hyperlinks to the external documents as referenced by the IDs provided in "External Document References"
• List separator: ;
• Number and order of list elements must match the contents of the "External Document References" column  (e.g. 5; 25)
• Optional field
• Used as input for define.xml</t>
        </r>
      </text>
    </comment>
    <comment ref="O1" authorId="0" shapeId="0">
      <text>
        <r>
          <rPr>
            <sz val="8"/>
            <color indexed="81"/>
            <rFont val="Tahoma"/>
            <family val="2"/>
          </rPr>
          <t>General or helpful information on the definition/derivation of an ADS variable
• The column "Comment" can be filled with any text or a link to a document in the BI network.
• Not used as input of the define.xml</t>
        </r>
      </text>
    </comment>
    <comment ref="P1" authorId="0" shapeId="0">
      <text>
        <r>
          <rPr>
            <sz val="8"/>
            <color indexed="81"/>
            <rFont val="Tahoma"/>
            <family val="2"/>
          </rPr>
          <t>The SAS code to derive a variable
• Optional
• Might be used for operational purposes only
• Business rule: If populated the contents of this column is not to be shared for 2nd programming purposes
• Not used as input for the define.xml</t>
        </r>
      </text>
    </comment>
    <comment ref="Q1" authorId="0" shapeId="0">
      <text>
        <r>
          <rPr>
            <sz val="8"/>
            <color indexed="81"/>
            <rFont val="Tahoma"/>
            <family val="2"/>
          </rPr>
          <t>The sort order for listing the ADS variables in the rendition of define.xml
• The variable metadata and optionally the parameter value-level metadata will appear sorted by this column in the define.xml.
• The specified sort order should also represent the physical sort order of the variables in the ADS
• Values should be numeric
• Used as input for the define.xml</t>
        </r>
      </text>
    </comment>
    <comment ref="R1" authorId="0" shapeId="0">
      <text>
        <r>
          <rPr>
            <sz val="8"/>
            <color indexed="81"/>
            <rFont val="Tahoma"/>
            <family val="2"/>
          </rPr>
          <t>CDISC Core as defined in CDISC ADaM
• Specifies the necessity for keeping this variable, according to CDISC ADaM.
• The following three codes (in parenthisis) may be used in this column:
o Required (Req): The variable must be included n the dataset.
o Conditionally required (Cond): The variable must be included in the dataset in certain circumstances.
o Permissible (Perm): The variable may be included in the dataset, but is not required.
• This column should not be filled for additional user specified variables.
• Not used as input for define.xml</t>
        </r>
      </text>
    </comment>
    <comment ref="S1" authorId="0" shapeId="0">
      <text>
        <r>
          <rPr>
            <sz val="8"/>
            <color indexed="81"/>
            <rFont val="Tahoma"/>
            <family val="2"/>
          </rPr>
          <t>• Specifies the necessity for keeping this variable, according to BI requirements / needs.
• The column “BI Core” contains the same entries like the “CDISC Core”, but will be filled different for some variables.
• This column should not be filled for additional user specified variables
• Not used as input for define.xml</t>
        </r>
      </text>
    </comment>
  </commentList>
</comments>
</file>

<file path=xl/sharedStrings.xml><?xml version="1.0" encoding="utf-8"?>
<sst xmlns="http://schemas.openxmlformats.org/spreadsheetml/2006/main" count="971" uniqueCount="324">
  <si>
    <t>M</t>
  </si>
  <si>
    <t>TRTAN</t>
  </si>
  <si>
    <t>TRTA</t>
  </si>
  <si>
    <t>TRTP</t>
  </si>
  <si>
    <t>TRTPN</t>
  </si>
  <si>
    <t>BI Core</t>
  </si>
  <si>
    <t>Req</t>
  </si>
  <si>
    <t>Perm</t>
  </si>
  <si>
    <t>Cond</t>
  </si>
  <si>
    <t>Subject-Level Analysis Dataset</t>
  </si>
  <si>
    <t>$NYC</t>
  </si>
  <si>
    <t>NYC</t>
  </si>
  <si>
    <t>ACTARM</t>
  </si>
  <si>
    <t>$AGEUC</t>
  </si>
  <si>
    <t>YEARS</t>
  </si>
  <si>
    <t>WEEKS</t>
  </si>
  <si>
    <t>MONTHS</t>
  </si>
  <si>
    <t>DAYS</t>
  </si>
  <si>
    <t>HOURS</t>
  </si>
  <si>
    <t>Dataset Name</t>
  </si>
  <si>
    <t>One record per study identifier per subject identifier per parameter code (per analysis visit)</t>
  </si>
  <si>
    <t>PARAM</t>
  </si>
  <si>
    <t>Parameter</t>
  </si>
  <si>
    <t>PARAMCD</t>
  </si>
  <si>
    <t>Parameter Code</t>
  </si>
  <si>
    <t>Treated Set Population Flag</t>
  </si>
  <si>
    <t>PARAMN</t>
  </si>
  <si>
    <t>Parameter (N)</t>
  </si>
  <si>
    <t>AVAL</t>
  </si>
  <si>
    <t>Analysis Value</t>
  </si>
  <si>
    <t>BASE</t>
  </si>
  <si>
    <t>Baseline Value</t>
  </si>
  <si>
    <t>CHG</t>
  </si>
  <si>
    <t>Change from Baseline</t>
  </si>
  <si>
    <t>TRTFL</t>
  </si>
  <si>
    <t>One record per study identifier per subject identifier</t>
  </si>
  <si>
    <t>CDISC Core</t>
  </si>
  <si>
    <t>Dataset Description</t>
  </si>
  <si>
    <t>CT Name</t>
  </si>
  <si>
    <t>Source / Derivation</t>
  </si>
  <si>
    <t>Variable Order</t>
  </si>
  <si>
    <t>ABLFL</t>
  </si>
  <si>
    <t>Baseline Record Flag</t>
  </si>
  <si>
    <t>U</t>
  </si>
  <si>
    <t>Unknown</t>
  </si>
  <si>
    <t>NA</t>
  </si>
  <si>
    <t>Not Applicable</t>
  </si>
  <si>
    <t>2</t>
  </si>
  <si>
    <t>$SEXC</t>
  </si>
  <si>
    <t>Documentation (define.xml)</t>
  </si>
  <si>
    <t>Male</t>
  </si>
  <si>
    <t>F</t>
  </si>
  <si>
    <t>Female</t>
  </si>
  <si>
    <t>Context (Where condition)</t>
  </si>
  <si>
    <t>*ALL*</t>
  </si>
  <si>
    <t>Dataset Structure</t>
  </si>
  <si>
    <t>Class of Dataset</t>
  </si>
  <si>
    <t>Comment</t>
  </si>
  <si>
    <t>Sort</t>
  </si>
  <si>
    <t>Dataset Location</t>
  </si>
  <si>
    <t>Type</t>
  </si>
  <si>
    <t>Code</t>
  </si>
  <si>
    <t>Decode</t>
  </si>
  <si>
    <t>Variable Name</t>
  </si>
  <si>
    <t>Variable Label</t>
  </si>
  <si>
    <t>Variable Type</t>
  </si>
  <si>
    <t>Variable Length</t>
  </si>
  <si>
    <t>Variable Format</t>
  </si>
  <si>
    <t>ADSL</t>
  </si>
  <si>
    <t>StudyName</t>
  </si>
  <si>
    <t>StudyDescription</t>
  </si>
  <si>
    <t>ProtocolName</t>
  </si>
  <si>
    <t>STUDYID</t>
  </si>
  <si>
    <t>Study Identifier</t>
  </si>
  <si>
    <t>USUBJID</t>
  </si>
  <si>
    <t>Unique Subject Identifier</t>
  </si>
  <si>
    <t>SUBJID</t>
  </si>
  <si>
    <t>Subject Identifier for the Study</t>
  </si>
  <si>
    <t>AGE</t>
  </si>
  <si>
    <t>Age</t>
  </si>
  <si>
    <t>AGEU</t>
  </si>
  <si>
    <t>Age Units</t>
  </si>
  <si>
    <t>SEX</t>
  </si>
  <si>
    <t>Sex</t>
  </si>
  <si>
    <t>RANDFL</t>
  </si>
  <si>
    <t>Randomized Population Flag</t>
  </si>
  <si>
    <t>ENRLFL</t>
  </si>
  <si>
    <t>Enrolled Population Flag</t>
  </si>
  <si>
    <t>Y</t>
  </si>
  <si>
    <t>Yes</t>
  </si>
  <si>
    <t>N</t>
  </si>
  <si>
    <t>No</t>
  </si>
  <si>
    <t>ARM</t>
  </si>
  <si>
    <t>Description of Planned Arm</t>
  </si>
  <si>
    <t>text</t>
  </si>
  <si>
    <t>integer</t>
  </si>
  <si>
    <t>float</t>
  </si>
  <si>
    <t>External Dictionary</t>
  </si>
  <si>
    <t>External Dictionary Version</t>
  </si>
  <si>
    <t>AVISITN</t>
  </si>
  <si>
    <t>Analysis Visit (N)</t>
  </si>
  <si>
    <t>1</t>
  </si>
  <si>
    <t>ADSL.TRTFL</t>
  </si>
  <si>
    <t>8.1</t>
  </si>
  <si>
    <t>Actual Treatment</t>
  </si>
  <si>
    <t>Planned Treatment</t>
  </si>
  <si>
    <t>Version Number</t>
  </si>
  <si>
    <t>Release Date</t>
  </si>
  <si>
    <t>Comments/Major Updates Compared to Prior Version</t>
  </si>
  <si>
    <t>Key Sequence</t>
  </si>
  <si>
    <t>Origin</t>
  </si>
  <si>
    <t>AsOfDateTime</t>
  </si>
  <si>
    <t>StandardName</t>
  </si>
  <si>
    <t>ADaM-IG</t>
  </si>
  <si>
    <t>StandardVersion</t>
  </si>
  <si>
    <t>1.0</t>
  </si>
  <si>
    <t>CDISC CT File References</t>
  </si>
  <si>
    <t>NCI/CDISC CT Name</t>
  </si>
  <si>
    <t>SAS Programming Statements</t>
  </si>
  <si>
    <t>External Document References</t>
  </si>
  <si>
    <t>External Document Page Numbers</t>
  </si>
  <si>
    <t>SUBJECT LEVEL ANALYSIS DATASET</t>
  </si>
  <si>
    <t>BASIC DATA STRUCTURE</t>
  </si>
  <si>
    <t>No Yes Response</t>
  </si>
  <si>
    <t>Age Unit</t>
  </si>
  <si>
    <t>Predecessor</t>
  </si>
  <si>
    <t>Assigned</t>
  </si>
  <si>
    <t>ANL01FL</t>
  </si>
  <si>
    <t>$NYT</t>
  </si>
  <si>
    <t>NYT</t>
  </si>
  <si>
    <t>0</t>
  </si>
  <si>
    <t>Used by Study</t>
  </si>
  <si>
    <t>You must enable macros before using this workbook</t>
  </si>
  <si>
    <t>UniqueIdentifier</t>
  </si>
  <si>
    <t>CT Descriptive Name</t>
  </si>
  <si>
    <t>- Based on ADS plan template: 001-MCG-160_RD-12_1 0
- Adapted for Define-XML v2.0
- Adapted for project centric approach
- Added ADAEPL and associated controlled terminology
- Moving Sheets CT, EXTCT, Document Links after Datasets  
- Minor improvements</t>
  </si>
  <si>
    <t>Derived</t>
  </si>
  <si>
    <t>- Added Analysis Results Metadata (ARM)
- Added ADAE and associated controlled terminology
- Added ADCM and associated controlled terminology
- Added ADMH and associated controlled terminology
- Added CLINSITE and associated controlled terminology
- Adapted column header comments to include rules specific to CLINSITE
- Marked ADAEPL as temporary interim solution. The preferred structure is ADAE.
- Added variable COUNTRY to all ADSs sheets, except for ADTTRAN and ADGTRT</t>
  </si>
  <si>
    <t>2.0</t>
  </si>
  <si>
    <t>DM.AGEU</t>
  </si>
  <si>
    <t>2.1</t>
  </si>
  <si>
    <t>- Updated to ADaM IG 1.1
- included ADOCCDS template
- added derivations for ADGTRT
- minor fixes</t>
  </si>
  <si>
    <t>ADPA</t>
  </si>
  <si>
    <r>
      <t>$20</t>
    </r>
    <r>
      <rPr>
        <sz val="11"/>
        <color indexed="8"/>
        <rFont val="Calibri"/>
        <family val="2"/>
      </rPr>
      <t>.</t>
    </r>
  </si>
  <si>
    <t>$9.</t>
  </si>
  <si>
    <r>
      <t>$10</t>
    </r>
    <r>
      <rPr>
        <sz val="11"/>
        <color indexed="8"/>
        <rFont val="Calibri"/>
        <family val="2"/>
      </rPr>
      <t>.</t>
    </r>
  </si>
  <si>
    <r>
      <t>$60</t>
    </r>
    <r>
      <rPr>
        <sz val="11"/>
        <color indexed="8"/>
        <rFont val="Calibri"/>
        <family val="2"/>
      </rPr>
      <t>.</t>
    </r>
  </si>
  <si>
    <t>Planned Treatment (N)</t>
  </si>
  <si>
    <r>
      <t>3</t>
    </r>
    <r>
      <rPr>
        <sz val="11"/>
        <color indexed="8"/>
        <rFont val="Calibri"/>
        <family val="2"/>
      </rPr>
      <t>.</t>
    </r>
  </si>
  <si>
    <t>Actual Treatment (N)</t>
  </si>
  <si>
    <t>$1.</t>
  </si>
  <si>
    <t xml:space="preserve">AVISIT </t>
  </si>
  <si>
    <t xml:space="preserve">Analysis Visit   </t>
  </si>
  <si>
    <r>
      <t>4</t>
    </r>
    <r>
      <rPr>
        <sz val="11"/>
        <color indexed="8"/>
        <rFont val="Calibri"/>
        <family val="2"/>
      </rPr>
      <t>.</t>
    </r>
  </si>
  <si>
    <r>
      <t>8</t>
    </r>
    <r>
      <rPr>
        <sz val="11"/>
        <color indexed="8"/>
        <rFont val="Calibri"/>
        <family val="2"/>
      </rPr>
      <t>.</t>
    </r>
  </si>
  <si>
    <t>when PARAMCD = "PASI", PARAMN = 10; when PARAMCD = "sPGA", PARAMN = 20</t>
  </si>
  <si>
    <t>$10.</t>
  </si>
  <si>
    <t>when PARAMCD = "PASI", PARAM = "Psoriasis Area and Severity Index"; when PARAMCD = "sPGA", PARAM = "Static Physician's Global Assessment"</t>
  </si>
  <si>
    <r>
      <t>$1</t>
    </r>
    <r>
      <rPr>
        <sz val="11"/>
        <color indexed="8"/>
        <rFont val="Calibri"/>
        <family val="2"/>
      </rPr>
      <t>.</t>
    </r>
  </si>
  <si>
    <t>base-aval for records of baseline and after, else set to missing</t>
  </si>
  <si>
    <t>PCHGCAT1</t>
  </si>
  <si>
    <t>PCHGCA1N</t>
  </si>
  <si>
    <t>PCHGCAT2</t>
  </si>
  <si>
    <t>PCHGCA2N</t>
  </si>
  <si>
    <t>AVALCAT1</t>
  </si>
  <si>
    <t>AVALCA1N</t>
  </si>
  <si>
    <t>Analysis Record Flag 01</t>
  </si>
  <si>
    <t>ANL01FN</t>
  </si>
  <si>
    <t>Analysis Record Flag 01 (N)</t>
  </si>
  <si>
    <r>
      <t>1</t>
    </r>
    <r>
      <rPr>
        <sz val="11"/>
        <color indexed="8"/>
        <rFont val="Calibri"/>
        <family val="2"/>
      </rPr>
      <t>.</t>
    </r>
  </si>
  <si>
    <t>Set to 1 if ANL01FL = 'Y' else set to missing</t>
  </si>
  <si>
    <t>Efficacy Analysis Dataset</t>
  </si>
  <si>
    <t>assign to "Y" for avisit = "VISIT 2"</t>
  </si>
  <si>
    <t>SEXN</t>
  </si>
  <si>
    <t>Sex (N)</t>
  </si>
  <si>
    <t>WEIGHT</t>
  </si>
  <si>
    <t>Weight (kg)</t>
  </si>
  <si>
    <t>PASI</t>
  </si>
  <si>
    <t>Baseline PASI</t>
  </si>
  <si>
    <t>sPGA</t>
  </si>
  <si>
    <t>Baseline sPGS</t>
  </si>
  <si>
    <t>AGEGR1</t>
  </si>
  <si>
    <t>Age Group 1</t>
  </si>
  <si>
    <t>AGEGR1N</t>
  </si>
  <si>
    <t>Age Group 1 (N)</t>
  </si>
  <si>
    <t>Treated Population Flag</t>
  </si>
  <si>
    <t>ARMCD</t>
  </si>
  <si>
    <t>Planned Arm Code</t>
  </si>
  <si>
    <t>ARMN</t>
  </si>
  <si>
    <t>Planned Arm (N)</t>
  </si>
  <si>
    <t>ARMSL</t>
  </si>
  <si>
    <t>Planned Arm Short Label</t>
  </si>
  <si>
    <t>Actual Arm</t>
  </si>
  <si>
    <t>ACTARMCD</t>
  </si>
  <si>
    <t>Actual Arm Code</t>
  </si>
  <si>
    <t>ACTARMN</t>
  </si>
  <si>
    <t>Actual Arm (N)</t>
  </si>
  <si>
    <t>ACTARMSL</t>
  </si>
  <si>
    <t>Actual Arm Short Label</t>
  </si>
  <si>
    <t>Planned Treatment for Period 01</t>
  </si>
  <si>
    <t>Planned Treatment for Period 01 (N)</t>
  </si>
  <si>
    <t>Actual Treatment for Period 01</t>
  </si>
  <si>
    <t>Actual Treatment for Period 01 (N)</t>
  </si>
  <si>
    <t>$20.</t>
  </si>
  <si>
    <t>8.</t>
  </si>
  <si>
    <t>$6.</t>
  </si>
  <si>
    <t>5.1</t>
  </si>
  <si>
    <t>$60.</t>
  </si>
  <si>
    <t>$15.</t>
  </si>
  <si>
    <t>DM.STUDYID</t>
  </si>
  <si>
    <t>DM.USUBJID</t>
  </si>
  <si>
    <t>DM.SUBJID</t>
  </si>
  <si>
    <t>DM.AGE</t>
  </si>
  <si>
    <t>DM.SEX</t>
  </si>
  <si>
    <t>Numeric version of SEX variable based on Controlled Terminology</t>
  </si>
  <si>
    <t xml:space="preserve">
if AGEGR1N = 1 then '&lt; 20'
else if AGEGR1N = 2 then '&gt;= 20 - &lt; 40'
else if AGEGR1N = 3 then '&gt;= 40 - &lt; 60'
else if AGEGR1N = 4 then '&gt;= 60 - &lt; 80'
else if AGEGR1N = 5 then '&gt;= 80'
</t>
  </si>
  <si>
    <t xml:space="preserve">
if . &lt; AGE &lt; 20 then 1
else if 20 &lt;= AGE &lt; 40 then 2
else if 40 &lt;= AGE &lt; 60 then 3
else if 60 &lt;= AGE &lt; 80 then 4
else if 80 &lt;= AGE  then 5
</t>
  </si>
  <si>
    <t>If ARM is not loaded, set to N for TRTFL</t>
  </si>
  <si>
    <t>SEXC</t>
  </si>
  <si>
    <t>If AVISIT = "VISIT 2", then assign to 2; if AVISIT="VISIT 6" then assign to 6</t>
  </si>
  <si>
    <t>PCHG</t>
  </si>
  <si>
    <t>Percent Change from Baseline</t>
  </si>
  <si>
    <t>CHG/BASE *100%  for records of baseline and after, else set to missing</t>
  </si>
  <si>
    <t>set to "Y"</t>
  </si>
  <si>
    <t>Percent Change Category 1 for PASI</t>
  </si>
  <si>
    <t>Percent Change Category 1 for PASI (N)</t>
  </si>
  <si>
    <t>Percent Change Category 2 for PASI</t>
  </si>
  <si>
    <t>Percent Change Category 2 for PASI (N)</t>
  </si>
  <si>
    <t>PACD</t>
  </si>
  <si>
    <t>Psoriasis Area and Severity Index</t>
  </si>
  <si>
    <t>Static Physician's Global Assessment</t>
  </si>
  <si>
    <t>2012_0103</t>
  </si>
  <si>
    <t>2012.103</t>
  </si>
  <si>
    <t>AVALCAT2</t>
  </si>
  <si>
    <t>AVALCA2N</t>
  </si>
  <si>
    <t>sPGA Responder Category 1</t>
  </si>
  <si>
    <t>sPGA responder Category 1 (N)</t>
  </si>
  <si>
    <t>sPGA Responder Category 2</t>
  </si>
  <si>
    <t>sPGA responder Category 2 (N)</t>
  </si>
  <si>
    <t>For PARAMCD = sPGA only, if sPGA at visit 6 = 0 , then "sPGA score of 0 ", else "sPGA score &gt;0"</t>
  </si>
  <si>
    <t>Numeric version of AVALCAT1, if "sPGA score of 0 ", then 1, else 0</t>
  </si>
  <si>
    <t>$PAC</t>
  </si>
  <si>
    <t>Document ID</t>
  </si>
  <si>
    <t>Document Title</t>
  </si>
  <si>
    <t>Document Filename</t>
  </si>
  <si>
    <t>DataGuide</t>
  </si>
  <si>
    <t>Analysis Data Reviewers Guide</t>
  </si>
  <si>
    <t xml:space="preserve">PARAMCD EQ "PASI" </t>
  </si>
  <si>
    <t xml:space="preserve">PARAMCD EQ "sPGA" </t>
  </si>
  <si>
    <t>set to missing</t>
  </si>
  <si>
    <t>1.</t>
  </si>
  <si>
    <t>For PARAMCD = sPGA only, if sPGA at visit 6 = 0 or 1 , then "sPGA score of 0 or 1 ", else "sPGA score &gt;1"</t>
  </si>
  <si>
    <t>Numeric version of AVALCAT1, if "sPGA score of 0 or 1  ", then 1, else 0</t>
  </si>
  <si>
    <t>Key Variables of Dataset</t>
  </si>
  <si>
    <t>USUBJID,STUDYID</t>
  </si>
  <si>
    <t>USUBJID,STUDYID,PARAMCD, AVISITN</t>
  </si>
  <si>
    <t xml:space="preserve">A phase 3 Study to Evaluate the Efficacy and Safety of Induction and Maintenance Regimens of Brodalumab Compared With Placebo and Ustekinumab in Subjects With Moderate to Severe Plaque Psoriasis (AMAGINE-2)
</t>
  </si>
  <si>
    <t>ct-sdtm-ncievs-odm-2014-09.xml;
ct-adam-ncievs-odm-2014-09.xml</t>
  </si>
  <si>
    <t>Numeric version of ARM</t>
  </si>
  <si>
    <t>Short Label for ARM</t>
  </si>
  <si>
    <t>Numeric version of ACTARM</t>
  </si>
  <si>
    <t>Short Label for ACTARM</t>
  </si>
  <si>
    <t>One to One mapping of DM.ARM</t>
  </si>
  <si>
    <t>Numeric version of DM.ARM</t>
  </si>
  <si>
    <t>One to One mapping of DM.ACTARM</t>
  </si>
  <si>
    <t>Numeric version of DM.ACTARM</t>
  </si>
  <si>
    <t xml:space="preserve">VS.VSSTRESN, where VSTESTCD = 'WEIGHT' 
</t>
  </si>
  <si>
    <t>QS.QSSTRESN where QS.QSTESTCD = "PASI" at VISIT 2</t>
  </si>
  <si>
    <t>QS.QSSTRESN where QS.QSTESTCD = "sPGA" at VISIT 2</t>
  </si>
  <si>
    <t xml:space="preserve">Indicator flag whether the subject has enrolled into the study.
For subjects with DM.RFICDTC is not missing it is Y else N. </t>
  </si>
  <si>
    <t xml:space="preserve">Indicator flag whether the subject has entered or randomized into the study.
For subjects with DM.ARMCD is not missing and not SCRNFAIL it is Y else N. </t>
  </si>
  <si>
    <t>Subjects who were randomized and documented to have taken at least one dose of investigational treatment.
For subjects with RANDFL=Y and non missing SE.SESTDTC where (SE.ETCD='TREAT' or SE.EPOCH='TREATMENT') it is Y else N</t>
  </si>
  <si>
    <t>DM.ARM</t>
  </si>
  <si>
    <t>DM.ARMCD</t>
  </si>
  <si>
    <t>DM.ACTARM</t>
  </si>
  <si>
    <t>DM.ACTARMCD</t>
  </si>
  <si>
    <t>TRT01P</t>
  </si>
  <si>
    <t>TRT01PN</t>
  </si>
  <si>
    <t>TRT01A</t>
  </si>
  <si>
    <t>TRT01AN</t>
  </si>
  <si>
    <t>QS.VISIT (VISIT 2 or VISIT 6)</t>
  </si>
  <si>
    <t>QS.QSTESTCD ("PASI" or "sPGA")</t>
  </si>
  <si>
    <t>QS.QSSTRESN where QS.QSTESTCD contains ("PASI" or "sPGA")</t>
  </si>
  <si>
    <t>AVAL  when AVISITN= 2</t>
  </si>
  <si>
    <t>See below</t>
  </si>
  <si>
    <t>For PARAMCD = PASI only, if PCHG&gt;=75, then "&gt;=75%",  else if .&lt;PCHG &lt;75 then '75%'</t>
  </si>
  <si>
    <t>Numeric version of PCHGCAT2, if PCHG&gt;=75, then "1", else if .&lt;PCHG &lt;75 then " 0 "</t>
  </si>
  <si>
    <t>For PARAMCD = PASI only, if PCHG&gt;=100, then "100%",  else if .&lt;PCHG &lt;100 then '100%'</t>
  </si>
  <si>
    <t>Numeric version of PCHGCAT1, if PCHG&gt;=100, then "1", else if .&lt;PCHG &lt;100 then " 0 "</t>
  </si>
  <si>
    <t>ADSL.USUBJID</t>
  </si>
  <si>
    <t>ADSL.STUDYID</t>
  </si>
  <si>
    <t>ADSL.SUBJID</t>
  </si>
  <si>
    <t>ADSL.TRT01P</t>
  </si>
  <si>
    <t>ADSL.TRT01PN</t>
  </si>
  <si>
    <t>ADSL.TRT01A</t>
  </si>
  <si>
    <t>ADSL.TRT01AN</t>
  </si>
  <si>
    <t>subject ID</t>
  </si>
  <si>
    <t>AESEQ</t>
  </si>
  <si>
    <t>sequence number of AE for a subject</t>
  </si>
  <si>
    <t>AESTDY</t>
  </si>
  <si>
    <t>AE start date relative to the study start date</t>
  </si>
  <si>
    <t>AEENDY</t>
  </si>
  <si>
    <t>AETERM</t>
  </si>
  <si>
    <t>AE term</t>
  </si>
  <si>
    <t>AEDECOD</t>
  </si>
  <si>
    <t>Decode of AE</t>
  </si>
  <si>
    <t>AEBODSYS</t>
  </si>
  <si>
    <t>Body System organ class</t>
  </si>
  <si>
    <t>AESER</t>
  </si>
  <si>
    <t>AE serious or not</t>
  </si>
  <si>
    <t>AESEV</t>
  </si>
  <si>
    <t>AE severity</t>
  </si>
  <si>
    <t>AEREL</t>
  </si>
  <si>
    <t>Investigator's assessment of whether AE is related to the treatment or not</t>
  </si>
  <si>
    <t>AEOUT</t>
  </si>
  <si>
    <t>AE outcome</t>
  </si>
  <si>
    <t>Treatment arm</t>
  </si>
  <si>
    <t>Treatment arm decode</t>
  </si>
  <si>
    <t>SBJTSTAT</t>
  </si>
  <si>
    <t>Subject status</t>
  </si>
  <si>
    <t>SAFFL</t>
  </si>
  <si>
    <t>Flag if the subject is in safety analysis dataset</t>
  </si>
  <si>
    <t>SAFFN</t>
  </si>
  <si>
    <t>Flag if the subject is in safety analysis dataset in numeric format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</si>
</sst>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000"/>
  </numFmts>
  <fonts count="3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MS Sans Serif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MS Sans Serif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</font>
    <font>
      <sz val="10"/>
      <color indexed="8"/>
      <name val="Arial"/>
      <family val="2"/>
    </font>
    <font>
      <b/>
      <i/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i/>
      <sz val="10"/>
      <color indexed="12"/>
      <name val="Arial"/>
      <family val="2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4"/>
      <color theme="1" tint="0.14999847407452621"/>
      <name val="Arial"/>
      <family val="2"/>
    </font>
    <font>
      <sz val="11"/>
      <color rgb="FF000000"/>
      <name val="Calibri"/>
      <family val="2"/>
    </font>
    <font>
      <sz val="11"/>
      <name val="Calibri"/>
      <family val="2"/>
    </font>
  </fonts>
  <fills count="26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9">
    <xf numFmtId="0" fontId="0" fillId="0" borderId="0"/>
    <xf numFmtId="0" fontId="6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5" borderId="0" applyNumberFormat="0" applyBorder="0" applyAlignment="0" applyProtection="0"/>
    <xf numFmtId="0" fontId="6" fillId="8" borderId="0" applyNumberFormat="0" applyBorder="0" applyAlignment="0" applyProtection="0"/>
    <xf numFmtId="0" fontId="6" fillId="11" borderId="0" applyNumberFormat="0" applyBorder="0" applyAlignment="0" applyProtection="0"/>
    <xf numFmtId="0" fontId="7" fillId="12" borderId="0" applyNumberFormat="0" applyBorder="0" applyAlignment="0" applyProtection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9" borderId="0" applyNumberFormat="0" applyBorder="0" applyAlignment="0" applyProtection="0"/>
    <xf numFmtId="0" fontId="8" fillId="3" borderId="0" applyNumberFormat="0" applyBorder="0" applyAlignment="0" applyProtection="0"/>
    <xf numFmtId="0" fontId="9" fillId="20" borderId="1" applyNumberFormat="0" applyAlignment="0" applyProtection="0"/>
    <xf numFmtId="0" fontId="10" fillId="21" borderId="2" applyNumberFormat="0" applyAlignment="0" applyProtection="0"/>
    <xf numFmtId="0" fontId="12" fillId="0" borderId="0" applyNumberFormat="0" applyFill="0" applyBorder="0" applyAlignment="0" applyProtection="0"/>
    <xf numFmtId="0" fontId="13" fillId="4" borderId="0" applyNumberFormat="0" applyBorder="0" applyAlignment="0" applyProtection="0"/>
    <xf numFmtId="0" fontId="14" fillId="0" borderId="3" applyNumberFormat="0" applyFill="0" applyAlignment="0" applyProtection="0"/>
    <xf numFmtId="0" fontId="15" fillId="0" borderId="4" applyNumberFormat="0" applyFill="0" applyAlignment="0" applyProtection="0"/>
    <xf numFmtId="0" fontId="16" fillId="0" borderId="5" applyNumberFormat="0" applyFill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>
      <alignment vertical="top"/>
      <protection locked="0"/>
    </xf>
    <xf numFmtId="0" fontId="18" fillId="7" borderId="1" applyNumberFormat="0" applyAlignment="0" applyProtection="0"/>
    <xf numFmtId="0" fontId="19" fillId="0" borderId="6" applyNumberFormat="0" applyFill="0" applyAlignment="0" applyProtection="0"/>
    <xf numFmtId="0" fontId="20" fillId="22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6" fillId="0" borderId="0"/>
    <xf numFmtId="0" fontId="31" fillId="0" borderId="0"/>
    <xf numFmtId="0" fontId="11" fillId="23" borderId="7" applyNumberFormat="0" applyFont="0" applyAlignment="0" applyProtection="0"/>
    <xf numFmtId="0" fontId="6" fillId="23" borderId="7" applyNumberFormat="0" applyFont="0" applyAlignment="0" applyProtection="0"/>
    <xf numFmtId="0" fontId="21" fillId="20" borderId="8" applyNumberFormat="0" applyAlignment="0" applyProtection="0"/>
    <xf numFmtId="0" fontId="11" fillId="0" borderId="0"/>
    <xf numFmtId="0" fontId="22" fillId="0" borderId="0" applyNumberFormat="0" applyFill="0" applyBorder="0" applyAlignment="0" applyProtection="0"/>
    <xf numFmtId="0" fontId="23" fillId="0" borderId="9" applyNumberFormat="0" applyFill="0" applyAlignment="0" applyProtection="0"/>
    <xf numFmtId="0" fontId="24" fillId="0" borderId="0" applyNumberFormat="0" applyFill="0" applyBorder="0" applyAlignment="0" applyProtection="0"/>
    <xf numFmtId="0" fontId="32" fillId="0" borderId="0"/>
    <xf numFmtId="0" fontId="3" fillId="0" borderId="0"/>
    <xf numFmtId="0" fontId="25" fillId="0" borderId="0"/>
    <xf numFmtId="0" fontId="25" fillId="0" borderId="0"/>
    <xf numFmtId="0" fontId="2" fillId="0" borderId="0"/>
    <xf numFmtId="0" fontId="1" fillId="0" borderId="0"/>
    <xf numFmtId="0" fontId="25" fillId="0" borderId="0"/>
  </cellStyleXfs>
  <cellXfs count="101">
    <xf numFmtId="0" fontId="0" fillId="0" borderId="0" xfId="0"/>
    <xf numFmtId="0" fontId="27" fillId="24" borderId="10" xfId="0" applyFont="1" applyFill="1" applyBorder="1" applyAlignment="1" applyProtection="1">
      <alignment vertical="center" wrapText="1"/>
    </xf>
    <xf numFmtId="0" fontId="0" fillId="0" borderId="0" xfId="0" applyProtection="1"/>
    <xf numFmtId="0" fontId="25" fillId="0" borderId="10" xfId="0" applyFont="1" applyBorder="1" applyAlignment="1" applyProtection="1">
      <alignment vertical="center" wrapText="1"/>
    </xf>
    <xf numFmtId="0" fontId="25" fillId="0" borderId="0" xfId="0" applyFont="1" applyProtection="1"/>
    <xf numFmtId="0" fontId="5" fillId="0" borderId="0" xfId="0" applyFont="1" applyProtection="1"/>
    <xf numFmtId="49" fontId="25" fillId="0" borderId="10" xfId="0" applyNumberFormat="1" applyFont="1" applyBorder="1" applyAlignment="1" applyProtection="1">
      <alignment vertical="center" wrapText="1"/>
    </xf>
    <xf numFmtId="0" fontId="0" fillId="0" borderId="10" xfId="0" applyBorder="1" applyProtection="1"/>
    <xf numFmtId="0" fontId="0" fillId="0" borderId="10" xfId="0" applyNumberFormat="1" applyBorder="1" applyAlignment="1" applyProtection="1">
      <alignment vertical="center" wrapText="1"/>
    </xf>
    <xf numFmtId="0" fontId="25" fillId="0" borderId="10" xfId="0" applyNumberFormat="1" applyFont="1" applyBorder="1" applyAlignment="1" applyProtection="1">
      <alignment vertical="center" wrapText="1"/>
    </xf>
    <xf numFmtId="0" fontId="32" fillId="0" borderId="10" xfId="0" applyNumberFormat="1" applyFont="1" applyBorder="1" applyAlignment="1" applyProtection="1">
      <alignment vertical="center" wrapText="1"/>
    </xf>
    <xf numFmtId="0" fontId="32" fillId="0" borderId="10" xfId="0" quotePrefix="1" applyNumberFormat="1" applyFont="1" applyBorder="1" applyAlignment="1" applyProtection="1">
      <alignment vertical="center" wrapText="1"/>
    </xf>
    <xf numFmtId="0" fontId="5" fillId="25" borderId="0" xfId="0" applyFont="1" applyFill="1" applyProtection="1"/>
    <xf numFmtId="0" fontId="25" fillId="0" borderId="0" xfId="0" quotePrefix="1" applyFont="1" applyAlignment="1" applyProtection="1">
      <alignment wrapText="1"/>
    </xf>
    <xf numFmtId="0" fontId="27" fillId="24" borderId="10" xfId="0" applyFont="1" applyFill="1" applyBorder="1" applyProtection="1"/>
    <xf numFmtId="0" fontId="5" fillId="0" borderId="0" xfId="0" applyFont="1" applyFill="1" applyBorder="1" applyProtection="1"/>
    <xf numFmtId="49" fontId="0" fillId="0" borderId="10" xfId="0" applyNumberFormat="1" applyBorder="1" applyProtection="1"/>
    <xf numFmtId="0" fontId="0" fillId="0" borderId="0" xfId="0" applyFill="1" applyBorder="1" applyProtection="1"/>
    <xf numFmtId="0" fontId="26" fillId="0" borderId="10" xfId="0" applyFont="1" applyFill="1" applyBorder="1" applyAlignment="1" applyProtection="1">
      <alignment vertical="top" wrapText="1"/>
    </xf>
    <xf numFmtId="0" fontId="0" fillId="0" borderId="10" xfId="0" applyFill="1" applyBorder="1" applyProtection="1"/>
    <xf numFmtId="0" fontId="30" fillId="24" borderId="10" xfId="34" applyFont="1" applyFill="1" applyBorder="1" applyAlignment="1" applyProtection="1">
      <alignment wrapText="1"/>
    </xf>
    <xf numFmtId="0" fontId="27" fillId="24" borderId="10" xfId="0" applyFont="1" applyFill="1" applyBorder="1" applyAlignment="1" applyProtection="1">
      <alignment wrapText="1"/>
    </xf>
    <xf numFmtId="49" fontId="27" fillId="24" borderId="10" xfId="0" applyNumberFormat="1" applyFont="1" applyFill="1" applyBorder="1" applyAlignment="1" applyProtection="1">
      <alignment wrapText="1"/>
    </xf>
    <xf numFmtId="0" fontId="5" fillId="24" borderId="10" xfId="0" applyFont="1" applyFill="1" applyBorder="1" applyAlignment="1" applyProtection="1">
      <alignment wrapText="1"/>
    </xf>
    <xf numFmtId="49" fontId="0" fillId="0" borderId="0" xfId="0" applyNumberFormat="1" applyProtection="1"/>
    <xf numFmtId="49" fontId="0" fillId="0" borderId="10" xfId="0" applyNumberFormat="1" applyFill="1" applyBorder="1" applyProtection="1"/>
    <xf numFmtId="49" fontId="27" fillId="24" borderId="10" xfId="0" applyNumberFormat="1" applyFont="1" applyFill="1" applyBorder="1" applyAlignment="1" applyProtection="1">
      <alignment vertical="center" wrapText="1"/>
    </xf>
    <xf numFmtId="0" fontId="27" fillId="24" borderId="10" xfId="0" applyFont="1" applyFill="1" applyBorder="1" applyAlignment="1">
      <alignment vertical="center" wrapText="1"/>
    </xf>
    <xf numFmtId="0" fontId="5" fillId="24" borderId="10" xfId="0" applyFont="1" applyFill="1" applyBorder="1" applyAlignment="1">
      <alignment vertical="center" wrapText="1"/>
    </xf>
    <xf numFmtId="0" fontId="5" fillId="0" borderId="0" xfId="0" applyFont="1" applyAlignment="1">
      <alignment vertical="center" wrapText="1"/>
    </xf>
    <xf numFmtId="0" fontId="0" fillId="0" borderId="10" xfId="0" applyBorder="1" applyAlignment="1">
      <alignment vertical="center" wrapText="1"/>
    </xf>
    <xf numFmtId="0" fontId="0" fillId="0" borderId="0" xfId="0" applyAlignment="1">
      <alignment vertical="center" wrapText="1"/>
    </xf>
    <xf numFmtId="0" fontId="17" fillId="0" borderId="10" xfId="34" applyBorder="1" applyAlignment="1" applyProtection="1">
      <alignment vertical="center" wrapText="1"/>
    </xf>
    <xf numFmtId="0" fontId="25" fillId="0" borderId="0" xfId="0" applyFont="1" applyFill="1" applyAlignment="1">
      <alignment horizontal="left" vertical="center" wrapText="1"/>
    </xf>
    <xf numFmtId="49" fontId="0" fillId="0" borderId="10" xfId="0" applyNumberFormat="1" applyBorder="1" applyAlignment="1">
      <alignment wrapText="1"/>
    </xf>
    <xf numFmtId="49" fontId="0" fillId="0" borderId="0" xfId="0" applyNumberFormat="1" applyBorder="1" applyAlignment="1">
      <alignment wrapText="1"/>
    </xf>
    <xf numFmtId="49" fontId="0" fillId="0" borderId="0" xfId="0" applyNumberFormat="1" applyAlignment="1">
      <alignment wrapText="1"/>
    </xf>
    <xf numFmtId="0" fontId="33" fillId="0" borderId="0" xfId="52" applyFont="1"/>
    <xf numFmtId="0" fontId="32" fillId="0" borderId="0" xfId="52"/>
    <xf numFmtId="0" fontId="27" fillId="24" borderId="10" xfId="0" applyFont="1" applyFill="1" applyBorder="1"/>
    <xf numFmtId="0" fontId="0" fillId="0" borderId="10" xfId="0" applyFill="1" applyBorder="1"/>
    <xf numFmtId="0" fontId="0" fillId="0" borderId="0" xfId="0" applyFill="1"/>
    <xf numFmtId="49" fontId="25" fillId="0" borderId="0" xfId="0" applyNumberFormat="1" applyFont="1" applyProtection="1"/>
    <xf numFmtId="0" fontId="25" fillId="0" borderId="10" xfId="0" applyFont="1" applyFill="1" applyBorder="1"/>
    <xf numFmtId="0" fontId="0" fillId="0" borderId="10" xfId="0" applyFill="1" applyBorder="1" applyAlignment="1" applyProtection="1">
      <alignment horizontal="left"/>
    </xf>
    <xf numFmtId="0" fontId="0" fillId="0" borderId="10" xfId="0" applyBorder="1" applyAlignment="1" applyProtection="1">
      <alignment wrapText="1"/>
    </xf>
    <xf numFmtId="0" fontId="25" fillId="0" borderId="10" xfId="0" applyFont="1" applyFill="1" applyBorder="1" applyProtection="1"/>
    <xf numFmtId="49" fontId="25" fillId="0" borderId="10" xfId="0" applyNumberFormat="1" applyFont="1" applyFill="1" applyBorder="1" applyProtection="1"/>
    <xf numFmtId="0" fontId="0" fillId="0" borderId="0" xfId="0" quotePrefix="1" applyAlignment="1" applyProtection="1">
      <alignment wrapText="1"/>
    </xf>
    <xf numFmtId="0" fontId="17" fillId="0" borderId="11" xfId="34" applyBorder="1" applyAlignment="1" applyProtection="1">
      <alignment vertical="center" wrapText="1"/>
    </xf>
    <xf numFmtId="0" fontId="0" fillId="0" borderId="11" xfId="0" applyBorder="1" applyAlignment="1">
      <alignment vertical="center" wrapText="1"/>
    </xf>
    <xf numFmtId="0" fontId="25" fillId="0" borderId="11" xfId="0" applyFont="1" applyFill="1" applyBorder="1" applyAlignment="1">
      <alignment horizontal="left" vertical="center" wrapText="1"/>
    </xf>
    <xf numFmtId="0" fontId="0" fillId="0" borderId="11" xfId="0" applyFill="1" applyBorder="1" applyAlignment="1">
      <alignment vertical="center" wrapText="1"/>
    </xf>
    <xf numFmtId="0" fontId="25" fillId="0" borderId="10" xfId="0" applyFont="1" applyBorder="1" applyAlignment="1">
      <alignment vertical="center" wrapText="1"/>
    </xf>
    <xf numFmtId="0" fontId="25" fillId="0" borderId="10" xfId="54" applyBorder="1"/>
    <xf numFmtId="0" fontId="25" fillId="0" borderId="10" xfId="54" applyBorder="1" applyAlignment="1">
      <alignment wrapText="1"/>
    </xf>
    <xf numFmtId="0" fontId="0" fillId="0" borderId="10" xfId="0" applyBorder="1"/>
    <xf numFmtId="0" fontId="25" fillId="0" borderId="10" xfId="54" quotePrefix="1" applyBorder="1" applyAlignment="1">
      <alignment wrapText="1"/>
    </xf>
    <xf numFmtId="0" fontId="25" fillId="0" borderId="10" xfId="55" applyFont="1" applyFill="1" applyBorder="1" applyAlignment="1">
      <alignment vertical="top"/>
    </xf>
    <xf numFmtId="0" fontId="25" fillId="0" borderId="10" xfId="55" applyFont="1" applyFill="1" applyBorder="1" applyAlignment="1">
      <alignment vertical="top" wrapText="1"/>
    </xf>
    <xf numFmtId="0" fontId="25" fillId="0" borderId="10" xfId="55" applyFill="1" applyBorder="1" applyAlignment="1">
      <alignment vertical="top"/>
    </xf>
    <xf numFmtId="0" fontId="25" fillId="0" borderId="10" xfId="55" applyFill="1" applyBorder="1" applyAlignment="1" applyProtection="1">
      <alignment vertical="top"/>
    </xf>
    <xf numFmtId="0" fontId="25" fillId="0" borderId="10" xfId="55" applyFill="1" applyBorder="1" applyAlignment="1" applyProtection="1">
      <alignment vertical="top" wrapText="1"/>
    </xf>
    <xf numFmtId="0" fontId="25" fillId="0" borderId="10" xfId="55" applyFill="1" applyBorder="1" applyAlignment="1">
      <alignment vertical="top" wrapText="1"/>
    </xf>
    <xf numFmtId="0" fontId="25" fillId="0" borderId="10" xfId="55" applyNumberFormat="1" applyFill="1" applyBorder="1" applyAlignment="1">
      <alignment horizontal="right" vertical="top"/>
    </xf>
    <xf numFmtId="49" fontId="25" fillId="0" borderId="10" xfId="55" applyNumberFormat="1" applyFont="1" applyFill="1" applyBorder="1" applyAlignment="1">
      <alignment vertical="top"/>
    </xf>
    <xf numFmtId="0" fontId="17" fillId="0" borderId="10" xfId="34" applyFont="1" applyFill="1" applyBorder="1" applyAlignment="1" applyProtection="1">
      <alignment vertical="top"/>
    </xf>
    <xf numFmtId="0" fontId="25" fillId="0" borderId="10" xfId="55" applyFill="1" applyBorder="1" applyAlignment="1" applyProtection="1">
      <alignment horizontal="right" vertical="top"/>
    </xf>
    <xf numFmtId="49" fontId="25" fillId="0" borderId="10" xfId="55" applyNumberFormat="1" applyFill="1" applyBorder="1" applyAlignment="1">
      <alignment vertical="top"/>
    </xf>
    <xf numFmtId="0" fontId="17" fillId="0" borderId="10" xfId="34" applyFill="1" applyBorder="1" applyAlignment="1" applyProtection="1">
      <alignment vertical="top"/>
    </xf>
    <xf numFmtId="49" fontId="25" fillId="0" borderId="10" xfId="55" applyNumberFormat="1" applyFill="1" applyBorder="1" applyAlignment="1" applyProtection="1">
      <alignment vertical="top"/>
    </xf>
    <xf numFmtId="0" fontId="32" fillId="0" borderId="10" xfId="56" applyFont="1" applyFill="1" applyBorder="1" applyAlignment="1">
      <alignment vertical="top" wrapText="1"/>
    </xf>
    <xf numFmtId="0" fontId="25" fillId="0" borderId="10" xfId="55" applyFont="1" applyFill="1" applyBorder="1" applyAlignment="1" applyProtection="1">
      <alignment vertical="top" wrapText="1"/>
    </xf>
    <xf numFmtId="49" fontId="25" fillId="0" borderId="10" xfId="55" applyNumberFormat="1" applyFill="1" applyBorder="1" applyAlignment="1">
      <alignment vertical="top" wrapText="1"/>
    </xf>
    <xf numFmtId="0" fontId="0" fillId="0" borderId="10" xfId="0" applyBorder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/>
    <xf numFmtId="49" fontId="25" fillId="0" borderId="0" xfId="0" applyNumberFormat="1" applyFont="1" applyBorder="1" applyAlignment="1" applyProtection="1">
      <alignment wrapText="1"/>
    </xf>
    <xf numFmtId="0" fontId="30" fillId="24" borderId="10" xfId="34" applyFont="1" applyFill="1" applyBorder="1" applyAlignment="1" applyProtection="1">
      <alignment vertical="top" wrapText="1"/>
    </xf>
    <xf numFmtId="0" fontId="27" fillId="24" borderId="10" xfId="54" applyFont="1" applyFill="1" applyBorder="1" applyAlignment="1" applyProtection="1">
      <alignment vertical="top" wrapText="1"/>
    </xf>
    <xf numFmtId="49" fontId="27" fillId="24" borderId="10" xfId="0" applyNumberFormat="1" applyFont="1" applyFill="1" applyBorder="1" applyAlignment="1" applyProtection="1">
      <alignment vertical="top" wrapText="1"/>
    </xf>
    <xf numFmtId="49" fontId="27" fillId="24" borderId="10" xfId="54" applyNumberFormat="1" applyFont="1" applyFill="1" applyBorder="1" applyAlignment="1" applyProtection="1">
      <alignment vertical="top" wrapText="1"/>
    </xf>
    <xf numFmtId="0" fontId="27" fillId="24" borderId="10" xfId="54" applyFont="1" applyFill="1" applyBorder="1" applyAlignment="1" applyProtection="1">
      <alignment vertical="top"/>
    </xf>
    <xf numFmtId="0" fontId="5" fillId="24" borderId="10" xfId="54" applyFont="1" applyFill="1" applyBorder="1" applyAlignment="1" applyProtection="1">
      <alignment vertical="top" wrapText="1"/>
    </xf>
    <xf numFmtId="0" fontId="0" fillId="0" borderId="10" xfId="0" applyFill="1" applyBorder="1" applyAlignment="1">
      <alignment vertical="top"/>
    </xf>
    <xf numFmtId="0" fontId="25" fillId="0" borderId="10" xfId="58" applyFill="1" applyBorder="1" applyProtection="1"/>
    <xf numFmtId="0" fontId="25" fillId="0" borderId="10" xfId="58" applyFill="1" applyBorder="1" applyAlignment="1" applyProtection="1">
      <alignment horizontal="left"/>
    </xf>
    <xf numFmtId="0" fontId="0" fillId="0" borderId="0" xfId="0" applyAlignment="1" applyProtection="1">
      <alignment horizontal="left"/>
    </xf>
    <xf numFmtId="0" fontId="0" fillId="0" borderId="0" xfId="0" applyFill="1" applyBorder="1" applyAlignment="1" applyProtection="1">
      <alignment horizontal="left"/>
    </xf>
    <xf numFmtId="0" fontId="0" fillId="0" borderId="10" xfId="0" applyFill="1" applyBorder="1" applyAlignment="1" applyProtection="1">
      <alignment horizontal="right"/>
    </xf>
    <xf numFmtId="0" fontId="0" fillId="0" borderId="10" xfId="0" applyBorder="1" applyAlignment="1" applyProtection="1">
      <alignment horizontal="left"/>
    </xf>
    <xf numFmtId="0" fontId="25" fillId="0" borderId="10" xfId="58" applyBorder="1" applyAlignment="1" applyProtection="1">
      <alignment horizontal="left" vertical="top"/>
    </xf>
    <xf numFmtId="0" fontId="17" fillId="0" borderId="10" xfId="34" applyBorder="1" applyAlignment="1" applyProtection="1"/>
    <xf numFmtId="164" fontId="0" fillId="0" borderId="10" xfId="0" applyNumberFormat="1" applyBorder="1"/>
    <xf numFmtId="0" fontId="25" fillId="0" borderId="10" xfId="54" applyBorder="1" applyAlignment="1"/>
    <xf numFmtId="49" fontId="25" fillId="0" borderId="10" xfId="54" applyNumberFormat="1" applyBorder="1" applyAlignment="1">
      <alignment wrapText="1"/>
    </xf>
    <xf numFmtId="0" fontId="0" fillId="0" borderId="10" xfId="0" applyBorder="1" applyAlignment="1" applyProtection="1"/>
    <xf numFmtId="49" fontId="0" fillId="0" borderId="10" xfId="0" applyNumberFormat="1" applyBorder="1" applyAlignment="1" applyProtection="1">
      <alignment vertical="center" wrapText="1"/>
    </xf>
    <xf numFmtId="0" fontId="34" fillId="0" borderId="0" xfId="0" applyFont="1"/>
    <xf numFmtId="0" fontId="34" fillId="0" borderId="0" xfId="0" applyFont="1" applyAlignment="1">
      <alignment vertical="center"/>
    </xf>
    <xf numFmtId="0" fontId="35" fillId="0" borderId="0" xfId="0" applyFont="1" applyAlignment="1">
      <alignment vertical="center"/>
    </xf>
  </cellXfs>
  <cellStyles count="59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" xfId="34" builtinId="8"/>
    <cellStyle name="Input" xfId="35" builtinId="20" customBuiltin="1"/>
    <cellStyle name="Linked Cell" xfId="36" builtinId="24" customBuiltin="1"/>
    <cellStyle name="Neutral" xfId="37" builtinId="28" customBuiltin="1"/>
    <cellStyle name="Normal" xfId="0" builtinId="0"/>
    <cellStyle name="Normal 10" xfId="38"/>
    <cellStyle name="Normal 2" xfId="39"/>
    <cellStyle name="Normal 2 2" xfId="40"/>
    <cellStyle name="Normal 3" xfId="41"/>
    <cellStyle name="Normal 4" xfId="42"/>
    <cellStyle name="Normal 5" xfId="43"/>
    <cellStyle name="Normal 6" xfId="44"/>
    <cellStyle name="Normal 6 2" xfId="53"/>
    <cellStyle name="Normal 6_CT" xfId="57"/>
    <cellStyle name="Normal 7" xfId="52"/>
    <cellStyle name="Normal_ADSL" xfId="56"/>
    <cellStyle name="Normal_ADSL_1" xfId="55"/>
    <cellStyle name="Normal_CT" xfId="58"/>
    <cellStyle name="Normal_Sheet1" xfId="54"/>
    <cellStyle name="Note" xfId="45" builtinId="10" customBuiltin="1"/>
    <cellStyle name="Note 2" xfId="46"/>
    <cellStyle name="Output" xfId="47" builtinId="21" customBuiltin="1"/>
    <cellStyle name="Standard 2" xfId="48"/>
    <cellStyle name="Title" xfId="49" builtinId="15" customBuiltin="1"/>
    <cellStyle name="Total" xfId="50" builtinId="25" customBuiltin="1"/>
    <cellStyle name="Warning Text" xfId="51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microsoft.com/office/2006/relationships/attachedToolbars" Target="attachedToolbars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76200</xdr:colOff>
      <xdr:row>2</xdr:row>
      <xdr:rowOff>47625</xdr:rowOff>
    </xdr:from>
    <xdr:to>
      <xdr:col>3</xdr:col>
      <xdr:colOff>76200</xdr:colOff>
      <xdr:row>5</xdr:row>
      <xdr:rowOff>104775</xdr:rowOff>
    </xdr:to>
    <xdr:pic>
      <xdr:nvPicPr>
        <xdr:cNvPr id="2" name="Picture 1" descr="lock.png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95400" y="371475"/>
          <a:ext cx="609600" cy="609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D5"/>
  <sheetViews>
    <sheetView showGridLines="0" tabSelected="1" workbookViewId="0"/>
  </sheetViews>
  <sheetFormatPr defaultColWidth="9.140625" defaultRowHeight="12.75" x14ac:dyDescent="0.2"/>
  <cols>
    <col min="1" max="16384" width="9.140625" style="38"/>
  </cols>
  <sheetData>
    <row r="5" spans="4:4" ht="18" x14ac:dyDescent="0.25">
      <c r="D5" s="37" t="s">
        <v>132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C5"/>
  <sheetViews>
    <sheetView zoomScaleNormal="100" workbookViewId="0"/>
  </sheetViews>
  <sheetFormatPr defaultColWidth="9.140625" defaultRowHeight="12.75" x14ac:dyDescent="0.2"/>
  <cols>
    <col min="1" max="1" width="20.28515625" style="2" customWidth="1"/>
    <col min="2" max="2" width="26.85546875" style="2" customWidth="1"/>
    <col min="3" max="3" width="73.140625" style="2" customWidth="1"/>
    <col min="4" max="16384" width="9.140625" style="2"/>
  </cols>
  <sheetData>
    <row r="1" spans="1:3" x14ac:dyDescent="0.2">
      <c r="A1" s="12" t="s">
        <v>106</v>
      </c>
      <c r="B1" s="12" t="s">
        <v>107</v>
      </c>
      <c r="C1" s="12" t="s">
        <v>108</v>
      </c>
    </row>
    <row r="3" spans="1:3" ht="76.5" x14ac:dyDescent="0.2">
      <c r="A3" s="2" t="s">
        <v>115</v>
      </c>
      <c r="C3" s="13" t="s">
        <v>135</v>
      </c>
    </row>
    <row r="4" spans="1:3" ht="102" x14ac:dyDescent="0.2">
      <c r="A4" s="42" t="s">
        <v>138</v>
      </c>
      <c r="C4" s="13" t="s">
        <v>137</v>
      </c>
    </row>
    <row r="5" spans="1:3" ht="51" x14ac:dyDescent="0.2">
      <c r="A5" s="42" t="s">
        <v>140</v>
      </c>
      <c r="C5" s="48" t="s">
        <v>141</v>
      </c>
    </row>
  </sheetData>
  <sheetProtection sheet="1" objects="1" scenarios="1" selectLockedCells="1" selectUnlockedCells="1"/>
  <pageMargins left="0.70866141732283472" right="0.70866141732283472" top="0.98425196850393704" bottom="0.98425196850393704" header="0.70866141732283472" footer="0.70866141732283472"/>
  <pageSetup paperSize="9" scale="74" fitToHeight="0" orientation="portrait" r:id="rId1"/>
  <headerFooter>
    <oddHeader>&amp;LProject Analaysis Dataset Template&amp;RVersion History</oddHeader>
    <oddFooter>&amp;LPage &amp;P of &amp;N&amp;R&amp;8 &amp;K00-048001-MCG-410_RD-07 (1.0) / saved on: 08 Oct 2015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K22"/>
  <sheetViews>
    <sheetView zoomScaleNormal="100" workbookViewId="0">
      <pane ySplit="1" topLeftCell="A2" activePane="bottomLeft" state="frozen"/>
      <selection activeCell="B1" sqref="B1"/>
      <selection pane="bottomLeft" activeCell="A8" sqref="A8"/>
    </sheetView>
  </sheetViews>
  <sheetFormatPr defaultColWidth="9.140625" defaultRowHeight="12.75" x14ac:dyDescent="0.2"/>
  <cols>
    <col min="1" max="1" width="23.28515625" style="24" bestFit="1" customWidth="1"/>
    <col min="2" max="2" width="40.7109375" style="2" customWidth="1"/>
    <col min="3" max="3" width="14.140625" style="2" bestFit="1" customWidth="1"/>
    <col min="4" max="5" width="9.140625" style="2"/>
    <col min="6" max="6" width="34.140625" style="2" customWidth="1"/>
    <col min="7" max="7" width="15.7109375" style="2" bestFit="1" customWidth="1"/>
    <col min="8" max="8" width="18.5703125" style="2" bestFit="1" customWidth="1"/>
    <col min="9" max="16384" width="9.140625" style="2"/>
  </cols>
  <sheetData>
    <row r="1" spans="1:11" ht="25.5" x14ac:dyDescent="0.2">
      <c r="A1" s="26" t="s">
        <v>69</v>
      </c>
      <c r="B1" s="1" t="s">
        <v>70</v>
      </c>
      <c r="C1" s="1" t="s">
        <v>71</v>
      </c>
      <c r="D1" s="1" t="s">
        <v>112</v>
      </c>
      <c r="E1" s="1" t="s">
        <v>114</v>
      </c>
      <c r="F1" s="1" t="s">
        <v>116</v>
      </c>
      <c r="G1" s="1" t="s">
        <v>133</v>
      </c>
      <c r="H1" s="1" t="s">
        <v>111</v>
      </c>
      <c r="K1" s="5"/>
    </row>
    <row r="2" spans="1:11" ht="89.25" x14ac:dyDescent="0.2">
      <c r="A2" s="6" t="s">
        <v>231</v>
      </c>
      <c r="B2" s="97" t="s">
        <v>256</v>
      </c>
      <c r="C2" s="6" t="s">
        <v>232</v>
      </c>
      <c r="D2" s="3" t="s">
        <v>113</v>
      </c>
      <c r="E2" s="6"/>
      <c r="F2" s="45" t="s">
        <v>257</v>
      </c>
      <c r="G2" s="6"/>
      <c r="H2" s="6"/>
      <c r="I2"/>
      <c r="J2" s="4"/>
      <c r="K2" s="5"/>
    </row>
    <row r="3" spans="1:11" x14ac:dyDescent="0.2">
      <c r="A3" s="6"/>
      <c r="B3" s="8"/>
      <c r="C3" s="8"/>
      <c r="D3" s="7"/>
      <c r="E3" s="7"/>
      <c r="F3" s="7"/>
      <c r="G3" s="7"/>
      <c r="H3" s="7"/>
      <c r="I3"/>
      <c r="K3" s="5"/>
    </row>
    <row r="4" spans="1:11" x14ac:dyDescent="0.2">
      <c r="A4" s="6"/>
      <c r="B4" s="8"/>
      <c r="C4" s="9"/>
      <c r="D4" s="7"/>
      <c r="E4" s="7"/>
      <c r="F4" s="7"/>
      <c r="G4" s="7"/>
      <c r="H4" s="7"/>
      <c r="I4"/>
      <c r="K4" s="5"/>
    </row>
    <row r="5" spans="1:11" x14ac:dyDescent="0.2">
      <c r="A5" s="6"/>
      <c r="B5" s="10"/>
      <c r="C5" s="10"/>
      <c r="D5" s="7"/>
      <c r="E5" s="7"/>
      <c r="F5" s="7"/>
      <c r="G5" s="7"/>
      <c r="H5" s="7"/>
      <c r="I5"/>
      <c r="K5" s="5"/>
    </row>
    <row r="6" spans="1:11" x14ac:dyDescent="0.2">
      <c r="A6" s="6"/>
      <c r="B6" s="11"/>
      <c r="C6" s="11"/>
      <c r="D6" s="7"/>
      <c r="E6" s="7"/>
      <c r="F6" s="7"/>
      <c r="G6" s="7"/>
      <c r="H6" s="7"/>
      <c r="I6"/>
      <c r="K6" s="5"/>
    </row>
    <row r="7" spans="1:11" x14ac:dyDescent="0.2">
      <c r="A7" s="6"/>
      <c r="B7" s="10"/>
      <c r="C7" s="10"/>
      <c r="D7" s="7"/>
      <c r="E7" s="7"/>
      <c r="F7" s="7"/>
      <c r="G7" s="7"/>
      <c r="H7" s="7"/>
      <c r="I7"/>
      <c r="K7" s="5"/>
    </row>
    <row r="8" spans="1:11" x14ac:dyDescent="0.2">
      <c r="A8" s="6"/>
      <c r="B8" s="10"/>
      <c r="C8" s="10"/>
      <c r="D8" s="7"/>
      <c r="E8" s="7"/>
      <c r="F8" s="7"/>
      <c r="G8" s="7"/>
      <c r="H8" s="7"/>
      <c r="K8" s="5"/>
    </row>
    <row r="9" spans="1:11" x14ac:dyDescent="0.2">
      <c r="A9" s="6"/>
      <c r="B9" s="8"/>
      <c r="C9" s="9"/>
      <c r="D9" s="7"/>
      <c r="E9" s="7"/>
      <c r="F9" s="7"/>
      <c r="G9" s="7"/>
      <c r="H9" s="7"/>
      <c r="K9" s="5"/>
    </row>
    <row r="10" spans="1:11" x14ac:dyDescent="0.2">
      <c r="A10" s="6"/>
      <c r="B10" s="7"/>
      <c r="C10" s="7"/>
      <c r="D10" s="7"/>
      <c r="E10" s="7"/>
      <c r="F10" s="7"/>
      <c r="G10" s="7"/>
      <c r="H10" s="7"/>
    </row>
    <row r="11" spans="1:11" x14ac:dyDescent="0.2">
      <c r="A11" s="6"/>
      <c r="B11" s="7"/>
      <c r="C11" s="7"/>
      <c r="D11" s="7"/>
      <c r="E11" s="7"/>
      <c r="F11" s="7"/>
      <c r="G11" s="7"/>
      <c r="H11" s="7"/>
    </row>
    <row r="12" spans="1:11" x14ac:dyDescent="0.2">
      <c r="A12" s="6"/>
      <c r="B12" s="7"/>
      <c r="C12" s="7"/>
      <c r="D12" s="7"/>
      <c r="E12" s="7"/>
      <c r="F12" s="7"/>
      <c r="G12" s="7"/>
      <c r="H12" s="7"/>
    </row>
    <row r="13" spans="1:11" x14ac:dyDescent="0.2">
      <c r="A13" s="6"/>
      <c r="B13" s="7"/>
      <c r="C13" s="7"/>
      <c r="D13" s="7"/>
      <c r="E13" s="7"/>
      <c r="F13" s="7"/>
      <c r="G13" s="7"/>
      <c r="H13" s="7"/>
    </row>
    <row r="14" spans="1:11" x14ac:dyDescent="0.2">
      <c r="A14" s="6"/>
      <c r="B14" s="7"/>
      <c r="C14" s="7"/>
      <c r="D14" s="7"/>
      <c r="E14" s="7"/>
      <c r="F14" s="7"/>
      <c r="G14" s="7"/>
      <c r="H14" s="7"/>
    </row>
    <row r="15" spans="1:11" x14ac:dyDescent="0.2">
      <c r="A15" s="6"/>
      <c r="B15" s="7"/>
      <c r="C15" s="7"/>
      <c r="D15" s="7"/>
      <c r="E15" s="7"/>
      <c r="F15" s="7"/>
      <c r="G15" s="7"/>
      <c r="H15" s="7"/>
    </row>
    <row r="16" spans="1:11" x14ac:dyDescent="0.2">
      <c r="A16" s="6"/>
      <c r="B16" s="7"/>
      <c r="C16" s="7"/>
      <c r="D16" s="7"/>
      <c r="E16" s="7"/>
      <c r="F16" s="7"/>
      <c r="G16" s="7"/>
      <c r="H16" s="7"/>
    </row>
    <row r="17" spans="1:8" x14ac:dyDescent="0.2">
      <c r="A17" s="6"/>
      <c r="B17" s="7"/>
      <c r="C17" s="7"/>
      <c r="D17" s="7"/>
      <c r="E17" s="7"/>
      <c r="F17" s="7"/>
      <c r="G17" s="7"/>
      <c r="H17" s="7"/>
    </row>
    <row r="18" spans="1:8" x14ac:dyDescent="0.2">
      <c r="A18" s="6"/>
      <c r="B18" s="7"/>
      <c r="C18" s="7"/>
      <c r="D18" s="7"/>
      <c r="E18" s="7"/>
      <c r="F18" s="7"/>
      <c r="G18" s="7"/>
      <c r="H18" s="7"/>
    </row>
    <row r="19" spans="1:8" x14ac:dyDescent="0.2">
      <c r="A19" s="6"/>
      <c r="B19" s="7"/>
      <c r="C19" s="7"/>
      <c r="D19" s="7"/>
      <c r="E19" s="7"/>
      <c r="F19" s="7"/>
      <c r="G19" s="7"/>
      <c r="H19" s="7"/>
    </row>
    <row r="20" spans="1:8" x14ac:dyDescent="0.2">
      <c r="A20" s="16"/>
      <c r="B20" s="7"/>
      <c r="C20" s="7"/>
      <c r="D20" s="7"/>
      <c r="E20" s="7"/>
      <c r="F20" s="7"/>
      <c r="G20" s="7"/>
      <c r="H20" s="7"/>
    </row>
    <row r="21" spans="1:8" x14ac:dyDescent="0.2">
      <c r="A21" s="16"/>
      <c r="B21" s="7"/>
      <c r="C21" s="7"/>
      <c r="D21" s="7"/>
      <c r="E21" s="7"/>
      <c r="F21" s="7"/>
      <c r="G21" s="7"/>
      <c r="H21" s="7"/>
    </row>
    <row r="22" spans="1:8" x14ac:dyDescent="0.2">
      <c r="A22" s="16"/>
      <c r="B22" s="7"/>
      <c r="C22" s="7"/>
      <c r="D22" s="7"/>
      <c r="E22" s="7"/>
      <c r="F22" s="7"/>
      <c r="G22" s="7"/>
      <c r="H22" s="7"/>
    </row>
  </sheetData>
  <sheetProtection formatCells="0" formatColumns="0" formatRows="0" insertColumns="0" insertRows="0" insertHyperlinks="0" deleteColumns="0" deleteRows="0" sort="0" autoFilter="0" pivotTables="0"/>
  <phoneticPr fontId="4" type="noConversion"/>
  <dataValidations count="1">
    <dataValidation allowBlank="1" showErrorMessage="1" sqref="A1:B1"/>
  </dataValidations>
  <pageMargins left="0.70866141732283472" right="0.70866141732283472" top="0.98425196850393704" bottom="0.98425196850393704" header="0.70866141732283472" footer="0.70866141732283472"/>
  <pageSetup paperSize="9" scale="54" fitToHeight="0" orientation="portrait" r:id="rId1"/>
  <headerFooter>
    <oddHeader>&amp;LProject Analaysis Dataset Template&amp;RHeader</oddHeader>
    <oddFooter>&amp;LPage &amp;P of &amp;N&amp;R&amp;8 &amp;K00-048001-MCG-410_RD-07 (1.0) / saved on: 08 Oct 2015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L3"/>
  <sheetViews>
    <sheetView zoomScaleNormal="100" workbookViewId="0">
      <pane ySplit="1" topLeftCell="A2" activePane="bottomLeft" state="frozen"/>
      <selection activeCell="B1" sqref="B1"/>
      <selection pane="bottomLeft" activeCell="G12" sqref="G12"/>
    </sheetView>
  </sheetViews>
  <sheetFormatPr defaultColWidth="10.42578125" defaultRowHeight="12.75" x14ac:dyDescent="0.2"/>
  <cols>
    <col min="1" max="1" width="13.85546875" style="31" customWidth="1"/>
    <col min="2" max="2" width="16.5703125" style="35" bestFit="1" customWidth="1"/>
    <col min="3" max="3" width="21" style="31" customWidth="1"/>
    <col min="4" max="5" width="23.5703125" style="31" customWidth="1"/>
    <col min="6" max="6" width="15.42578125" style="31" bestFit="1" customWidth="1"/>
    <col min="7" max="7" width="16.28515625" style="31" bestFit="1" customWidth="1"/>
    <col min="8" max="8" width="14.28515625" style="31" customWidth="1"/>
    <col min="9" max="11" width="15.28515625" style="31" customWidth="1"/>
    <col min="12" max="257" width="9.140625" style="31" customWidth="1"/>
    <col min="258" max="16384" width="10.42578125" style="31"/>
  </cols>
  <sheetData>
    <row r="1" spans="1:12" s="29" customFormat="1" ht="38.25" x14ac:dyDescent="0.2">
      <c r="A1" s="27" t="s">
        <v>19</v>
      </c>
      <c r="B1" s="26" t="s">
        <v>131</v>
      </c>
      <c r="C1" s="27" t="s">
        <v>37</v>
      </c>
      <c r="D1" s="27" t="s">
        <v>55</v>
      </c>
      <c r="E1" s="27" t="s">
        <v>253</v>
      </c>
      <c r="F1" s="27" t="s">
        <v>56</v>
      </c>
      <c r="G1" s="28" t="s">
        <v>59</v>
      </c>
      <c r="H1" s="28" t="s">
        <v>57</v>
      </c>
      <c r="I1" s="27" t="s">
        <v>49</v>
      </c>
      <c r="J1" s="27" t="s">
        <v>119</v>
      </c>
      <c r="K1" s="27" t="s">
        <v>120</v>
      </c>
      <c r="L1" s="27" t="s">
        <v>58</v>
      </c>
    </row>
    <row r="2" spans="1:12" ht="51" x14ac:dyDescent="0.2">
      <c r="A2" s="49" t="str">
        <f>HYPERLINK("#ADSL!A1", "ADSL")</f>
        <v>ADSL</v>
      </c>
      <c r="B2" s="6" t="s">
        <v>231</v>
      </c>
      <c r="C2" s="33" t="s">
        <v>9</v>
      </c>
      <c r="D2" s="50" t="s">
        <v>35</v>
      </c>
      <c r="E2" s="50" t="s">
        <v>254</v>
      </c>
      <c r="F2" s="51" t="s">
        <v>121</v>
      </c>
      <c r="G2" s="51"/>
      <c r="H2" s="51"/>
      <c r="I2" s="51"/>
      <c r="J2" s="51"/>
      <c r="K2" s="51"/>
      <c r="L2" s="52">
        <v>1</v>
      </c>
    </row>
    <row r="3" spans="1:12" ht="51" x14ac:dyDescent="0.2">
      <c r="A3" s="32" t="str">
        <f>HYPERLINK("#ADPA!A1", "ADPA")</f>
        <v>ADPA</v>
      </c>
      <c r="B3" s="6" t="s">
        <v>231</v>
      </c>
      <c r="C3" s="53" t="s">
        <v>171</v>
      </c>
      <c r="D3" s="30" t="s">
        <v>20</v>
      </c>
      <c r="E3" s="30" t="s">
        <v>255</v>
      </c>
      <c r="F3" s="30" t="s">
        <v>122</v>
      </c>
      <c r="G3" s="30"/>
      <c r="H3" s="30"/>
      <c r="I3" s="30"/>
      <c r="J3" s="30"/>
      <c r="K3" s="30"/>
      <c r="L3" s="30">
        <v>2</v>
      </c>
    </row>
  </sheetData>
  <autoFilter ref="B1:B2"/>
  <dataConsolidate/>
  <dataValidations count="7">
    <dataValidation operator="lessThan" showErrorMessage="1" errorTitle="Text is too long" error="The maximun length of Dataset names is restricted to 8 characters. Please try it again with less characters." sqref="A1"/>
    <dataValidation allowBlank="1" showErrorMessage="1" sqref="G1:L1 C1:D1"/>
    <dataValidation type="custom" allowBlank="1" showInputMessage="1" showErrorMessage="1" errorTitle="Dataset name is not correct" error="The Dataset name is either longer than 8 characters or contains one of the following special characters:_x000a_&quot;_x000a_'_x000a_blanks_x000a_&lt;_x000a_&gt;_x000a_&amp;" sqref="A2:A65517">
      <formula1>AND(ISERROR(FIND("&lt;",cellhelp)),ISERROR(FIND("&gt;",cellhelp)),ISERROR(FIND("’",cellhelp)),ISERROR(FIND("&amp;",cellhelp)),ISERROR(FIND(" ",cellhelp)),ISERROR(FIND("""",cellhelp)),LEN(cellhelp)&lt;9)</formula1>
    </dataValidation>
    <dataValidation type="textLength" operator="lessThan" showInputMessage="1" showErrorMessage="1" errorTitle="Text is too long" error="The maximun length of Dataset Labels is restricted to 40 characters. Please try it again with less characters." sqref="C2:C65517">
      <formula1>41</formula1>
    </dataValidation>
    <dataValidation type="custom" allowBlank="1" showInputMessage="1" showErrorMessage="1" errorTitle="Special characters found" error="Please avoid using special characters like:_x000a_&quot;_x000a_'_x000a_&lt;_x000a_&gt;_x000a_&amp;" sqref="D2:E65517">
      <formula1>AND(ISERROR(FIND("&lt;",cellhelp)),ISERROR(FIND("&gt;",cellhelp)),ISERROR(FIND("’",cellhelp)),ISERROR(FIND("&amp;",cellhelp)),ISERROR(FIND("""",cellhelp)))</formula1>
    </dataValidation>
    <dataValidation type="custom" allowBlank="1" showInputMessage="1" showErrorMessage="1" errorTitle="Sort is not numeric" error="Please use only numeric values in the sort order." sqref="L2:L65517">
      <formula1>ISNUMBER(cellhelp)</formula1>
    </dataValidation>
    <dataValidation type="list" allowBlank="1" showInputMessage="1" showErrorMessage="1" sqref="F2:F65517">
      <formula1>"SUBJECT LEVEL ANALYSIS DATASET,BASIC DATA STRUCTURE,OCCURRENCE DATA STRUCTURE,ADAM OTHER"</formula1>
    </dataValidation>
  </dataValidations>
  <pageMargins left="0.70866141732283472" right="0.70866141732283472" top="0.98425196850393704" bottom="0.98425196850393704" header="0.70866141732283472" footer="0.70866141732283472"/>
  <pageSetup paperSize="9" scale="76" fitToHeight="0" orientation="landscape" r:id="rId1"/>
  <headerFooter>
    <oddHeader>&amp;LProject Analaysis Dataset Template&amp;RDatasets</oddHeader>
    <oddFooter>&amp;LPage &amp;P of &amp;N&amp;R&amp;8 &amp;K00-048001-MCG-410_RD-07 (1.0) / saved on: 08 Oct 2015</oddFoot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"/>
  <sheetViews>
    <sheetView workbookViewId="0">
      <selection activeCell="D23" sqref="D23"/>
    </sheetView>
  </sheetViews>
  <sheetFormatPr defaultRowHeight="12.75" x14ac:dyDescent="0.2"/>
  <cols>
    <col min="1" max="1" width="16" customWidth="1"/>
    <col min="2" max="2" width="11.42578125" customWidth="1"/>
    <col min="3" max="3" width="14" customWidth="1"/>
    <col min="4" max="4" width="23.85546875" customWidth="1"/>
  </cols>
  <sheetData>
    <row r="1" spans="1:4" ht="10.5" customHeight="1" x14ac:dyDescent="0.2">
      <c r="A1" s="22" t="s">
        <v>131</v>
      </c>
      <c r="B1" s="1" t="s">
        <v>242</v>
      </c>
      <c r="C1" s="1" t="s">
        <v>243</v>
      </c>
      <c r="D1" s="1" t="s">
        <v>244</v>
      </c>
    </row>
    <row r="2" spans="1:4" x14ac:dyDescent="0.2">
      <c r="A2" s="93" t="s">
        <v>231</v>
      </c>
      <c r="B2" s="7" t="s">
        <v>245</v>
      </c>
      <c r="C2" s="7" t="s">
        <v>246</v>
      </c>
      <c r="D2" s="5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H28"/>
  <sheetViews>
    <sheetView zoomScaleNormal="100" workbookViewId="0">
      <pane ySplit="1" topLeftCell="A2" activePane="bottomLeft" state="frozen"/>
      <selection pane="bottomLeft" activeCell="F11" sqref="F11"/>
    </sheetView>
  </sheetViews>
  <sheetFormatPr defaultColWidth="9.140625" defaultRowHeight="12.75" x14ac:dyDescent="0.2"/>
  <cols>
    <col min="1" max="1" width="12.28515625" style="2" customWidth="1"/>
    <col min="2" max="2" width="16.5703125" style="36" bestFit="1" customWidth="1"/>
    <col min="3" max="3" width="47" style="2" bestFit="1" customWidth="1"/>
    <col min="4" max="4" width="6.5703125" style="2" bestFit="1" customWidth="1"/>
    <col min="5" max="5" width="5.28515625" style="2" bestFit="1" customWidth="1"/>
    <col min="6" max="6" width="46" style="2" bestFit="1" customWidth="1"/>
    <col min="7" max="7" width="35.5703125" style="2" bestFit="1" customWidth="1"/>
    <col min="8" max="8" width="18.5703125" style="17" bestFit="1" customWidth="1"/>
    <col min="9" max="16384" width="9.140625" style="2"/>
  </cols>
  <sheetData>
    <row r="1" spans="1:8" x14ac:dyDescent="0.2">
      <c r="A1" s="14" t="s">
        <v>38</v>
      </c>
      <c r="B1" s="22" t="s">
        <v>131</v>
      </c>
      <c r="C1" s="14" t="s">
        <v>117</v>
      </c>
      <c r="D1" s="14" t="s">
        <v>60</v>
      </c>
      <c r="E1" s="14" t="s">
        <v>58</v>
      </c>
      <c r="F1" s="14" t="s">
        <v>61</v>
      </c>
      <c r="G1" s="14" t="s">
        <v>62</v>
      </c>
      <c r="H1" s="15"/>
    </row>
    <row r="2" spans="1:8" x14ac:dyDescent="0.2">
      <c r="A2" s="19" t="s">
        <v>10</v>
      </c>
      <c r="B2" s="6" t="s">
        <v>231</v>
      </c>
      <c r="C2" s="19" t="s">
        <v>123</v>
      </c>
      <c r="D2" s="19" t="s">
        <v>94</v>
      </c>
      <c r="E2" s="19">
        <v>1</v>
      </c>
      <c r="F2" s="25" t="s">
        <v>90</v>
      </c>
      <c r="G2" s="19" t="s">
        <v>91</v>
      </c>
    </row>
    <row r="3" spans="1:8" x14ac:dyDescent="0.2">
      <c r="A3" s="19" t="s">
        <v>10</v>
      </c>
      <c r="B3" s="6" t="s">
        <v>231</v>
      </c>
      <c r="C3" s="19" t="s">
        <v>123</v>
      </c>
      <c r="D3" s="19" t="s">
        <v>94</v>
      </c>
      <c r="E3" s="19">
        <v>2</v>
      </c>
      <c r="F3" s="19" t="s">
        <v>88</v>
      </c>
      <c r="G3" s="19" t="s">
        <v>89</v>
      </c>
    </row>
    <row r="4" spans="1:8" x14ac:dyDescent="0.2">
      <c r="A4" s="19" t="s">
        <v>10</v>
      </c>
      <c r="B4" s="6" t="s">
        <v>231</v>
      </c>
      <c r="C4" s="19" t="s">
        <v>123</v>
      </c>
      <c r="D4" s="19" t="s">
        <v>94</v>
      </c>
      <c r="E4" s="19">
        <v>3</v>
      </c>
      <c r="F4" s="19" t="s">
        <v>43</v>
      </c>
      <c r="G4" s="19" t="s">
        <v>44</v>
      </c>
    </row>
    <row r="5" spans="1:8" x14ac:dyDescent="0.2">
      <c r="A5" s="19" t="s">
        <v>10</v>
      </c>
      <c r="B5" s="6" t="s">
        <v>231</v>
      </c>
      <c r="C5" s="19" t="s">
        <v>123</v>
      </c>
      <c r="D5" s="19" t="s">
        <v>94</v>
      </c>
      <c r="E5" s="19">
        <v>4</v>
      </c>
      <c r="F5" s="19" t="s">
        <v>45</v>
      </c>
      <c r="G5" s="19" t="s">
        <v>46</v>
      </c>
    </row>
    <row r="6" spans="1:8" x14ac:dyDescent="0.2">
      <c r="A6" s="19" t="s">
        <v>11</v>
      </c>
      <c r="B6" s="6" t="s">
        <v>231</v>
      </c>
      <c r="C6" s="19"/>
      <c r="D6" s="19" t="s">
        <v>95</v>
      </c>
      <c r="E6" s="19">
        <v>1</v>
      </c>
      <c r="F6" s="25">
        <v>0</v>
      </c>
      <c r="G6" s="19" t="s">
        <v>91</v>
      </c>
    </row>
    <row r="7" spans="1:8" x14ac:dyDescent="0.2">
      <c r="A7" s="19" t="s">
        <v>11</v>
      </c>
      <c r="B7" s="6" t="s">
        <v>231</v>
      </c>
      <c r="C7" s="19"/>
      <c r="D7" s="19" t="s">
        <v>95</v>
      </c>
      <c r="E7" s="19">
        <v>2</v>
      </c>
      <c r="F7" s="25">
        <v>1</v>
      </c>
      <c r="G7" s="19" t="s">
        <v>89</v>
      </c>
    </row>
    <row r="8" spans="1:8" x14ac:dyDescent="0.2">
      <c r="A8" s="19" t="s">
        <v>11</v>
      </c>
      <c r="B8" s="6" t="s">
        <v>231</v>
      </c>
      <c r="C8" s="19"/>
      <c r="D8" s="19" t="s">
        <v>95</v>
      </c>
      <c r="E8" s="19">
        <v>3</v>
      </c>
      <c r="F8" s="25" t="s">
        <v>47</v>
      </c>
      <c r="G8" s="19" t="s">
        <v>44</v>
      </c>
    </row>
    <row r="9" spans="1:8" x14ac:dyDescent="0.2">
      <c r="A9" s="19" t="s">
        <v>11</v>
      </c>
      <c r="B9" s="6" t="s">
        <v>231</v>
      </c>
      <c r="C9" s="19"/>
      <c r="D9" s="19" t="s">
        <v>95</v>
      </c>
      <c r="E9" s="19">
        <v>4</v>
      </c>
      <c r="F9" s="25">
        <v>3</v>
      </c>
      <c r="G9" s="19" t="s">
        <v>46</v>
      </c>
    </row>
    <row r="10" spans="1:8" ht="12.75" customHeight="1" x14ac:dyDescent="0.2">
      <c r="A10" s="19" t="s">
        <v>128</v>
      </c>
      <c r="B10" s="6" t="s">
        <v>231</v>
      </c>
      <c r="C10" s="19"/>
      <c r="D10" s="19" t="s">
        <v>94</v>
      </c>
      <c r="E10" s="19">
        <v>1</v>
      </c>
      <c r="F10" s="25" t="s">
        <v>90</v>
      </c>
      <c r="G10" s="19" t="s">
        <v>91</v>
      </c>
    </row>
    <row r="11" spans="1:8" x14ac:dyDescent="0.2">
      <c r="A11" s="19" t="s">
        <v>128</v>
      </c>
      <c r="B11" s="6" t="s">
        <v>231</v>
      </c>
      <c r="C11" s="19"/>
      <c r="D11" s="19" t="s">
        <v>94</v>
      </c>
      <c r="E11" s="19">
        <v>2</v>
      </c>
      <c r="F11" s="25" t="s">
        <v>88</v>
      </c>
      <c r="G11" s="19" t="s">
        <v>89</v>
      </c>
    </row>
    <row r="12" spans="1:8" x14ac:dyDescent="0.2">
      <c r="A12" s="19" t="s">
        <v>129</v>
      </c>
      <c r="B12" s="6" t="s">
        <v>231</v>
      </c>
      <c r="C12" s="19"/>
      <c r="D12" s="19" t="s">
        <v>95</v>
      </c>
      <c r="E12" s="19">
        <v>1</v>
      </c>
      <c r="F12" s="25" t="s">
        <v>130</v>
      </c>
      <c r="G12" s="19" t="s">
        <v>91</v>
      </c>
    </row>
    <row r="13" spans="1:8" x14ac:dyDescent="0.2">
      <c r="A13" s="19" t="s">
        <v>129</v>
      </c>
      <c r="B13" s="6" t="s">
        <v>231</v>
      </c>
      <c r="C13" s="19"/>
      <c r="D13" s="19" t="s">
        <v>95</v>
      </c>
      <c r="E13" s="19">
        <v>2</v>
      </c>
      <c r="F13" s="25" t="s">
        <v>101</v>
      </c>
      <c r="G13" s="19" t="s">
        <v>89</v>
      </c>
    </row>
    <row r="14" spans="1:8" x14ac:dyDescent="0.2">
      <c r="A14" s="19" t="s">
        <v>48</v>
      </c>
      <c r="B14" s="6" t="s">
        <v>231</v>
      </c>
      <c r="C14" s="19" t="s">
        <v>83</v>
      </c>
      <c r="D14" s="19" t="s">
        <v>94</v>
      </c>
      <c r="E14" s="19">
        <v>1</v>
      </c>
      <c r="F14" s="19" t="s">
        <v>0</v>
      </c>
      <c r="G14" s="19" t="s">
        <v>50</v>
      </c>
    </row>
    <row r="15" spans="1:8" x14ac:dyDescent="0.2">
      <c r="A15" s="19" t="s">
        <v>48</v>
      </c>
      <c r="B15" s="6" t="s">
        <v>231</v>
      </c>
      <c r="C15" s="19" t="s">
        <v>83</v>
      </c>
      <c r="D15" s="19" t="s">
        <v>94</v>
      </c>
      <c r="E15" s="19">
        <v>2</v>
      </c>
      <c r="F15" s="19" t="s">
        <v>51</v>
      </c>
      <c r="G15" s="19" t="s">
        <v>52</v>
      </c>
    </row>
    <row r="16" spans="1:8" x14ac:dyDescent="0.2">
      <c r="A16" s="19" t="s">
        <v>48</v>
      </c>
      <c r="B16" s="6" t="s">
        <v>231</v>
      </c>
      <c r="C16" s="19" t="s">
        <v>83</v>
      </c>
      <c r="D16" s="19" t="s">
        <v>94</v>
      </c>
      <c r="E16" s="19">
        <v>3</v>
      </c>
      <c r="F16" s="19" t="s">
        <v>43</v>
      </c>
      <c r="G16" s="46" t="s">
        <v>44</v>
      </c>
    </row>
    <row r="17" spans="1:8" x14ac:dyDescent="0.2">
      <c r="A17" s="19" t="s">
        <v>13</v>
      </c>
      <c r="B17" s="6" t="s">
        <v>231</v>
      </c>
      <c r="C17" s="19" t="s">
        <v>124</v>
      </c>
      <c r="D17" s="19" t="s">
        <v>94</v>
      </c>
      <c r="E17" s="19">
        <v>1</v>
      </c>
      <c r="F17" s="18" t="s">
        <v>17</v>
      </c>
      <c r="G17" s="18"/>
    </row>
    <row r="18" spans="1:8" x14ac:dyDescent="0.2">
      <c r="A18" s="19" t="s">
        <v>13</v>
      </c>
      <c r="B18" s="6" t="s">
        <v>231</v>
      </c>
      <c r="C18" s="19" t="s">
        <v>124</v>
      </c>
      <c r="D18" s="19" t="s">
        <v>94</v>
      </c>
      <c r="E18" s="19">
        <v>2</v>
      </c>
      <c r="F18" s="18" t="s">
        <v>18</v>
      </c>
      <c r="G18" s="18"/>
    </row>
    <row r="19" spans="1:8" x14ac:dyDescent="0.2">
      <c r="A19" s="19" t="s">
        <v>13</v>
      </c>
      <c r="B19" s="6" t="s">
        <v>231</v>
      </c>
      <c r="C19" s="19" t="s">
        <v>124</v>
      </c>
      <c r="D19" s="19" t="s">
        <v>94</v>
      </c>
      <c r="E19" s="19">
        <v>3</v>
      </c>
      <c r="F19" s="18" t="s">
        <v>16</v>
      </c>
      <c r="G19" s="18"/>
    </row>
    <row r="20" spans="1:8" x14ac:dyDescent="0.2">
      <c r="A20" s="19" t="s">
        <v>13</v>
      </c>
      <c r="B20" s="6" t="s">
        <v>231</v>
      </c>
      <c r="C20" s="19" t="s">
        <v>124</v>
      </c>
      <c r="D20" s="19" t="s">
        <v>94</v>
      </c>
      <c r="E20" s="19">
        <v>4</v>
      </c>
      <c r="F20" s="18" t="s">
        <v>15</v>
      </c>
      <c r="G20" s="18"/>
    </row>
    <row r="21" spans="1:8" x14ac:dyDescent="0.2">
      <c r="A21" s="19" t="s">
        <v>13</v>
      </c>
      <c r="B21" s="6" t="s">
        <v>231</v>
      </c>
      <c r="C21" s="19" t="s">
        <v>124</v>
      </c>
      <c r="D21" s="19" t="s">
        <v>94</v>
      </c>
      <c r="E21" s="19">
        <v>5</v>
      </c>
      <c r="F21" s="18" t="s">
        <v>14</v>
      </c>
      <c r="G21" s="18"/>
    </row>
    <row r="22" spans="1:8" s="87" customFormat="1" x14ac:dyDescent="0.2">
      <c r="A22" s="44" t="s">
        <v>218</v>
      </c>
      <c r="B22" s="6" t="s">
        <v>231</v>
      </c>
      <c r="C22" s="44"/>
      <c r="D22" s="44" t="s">
        <v>95</v>
      </c>
      <c r="E22" s="89">
        <v>1</v>
      </c>
      <c r="F22" s="90">
        <v>1</v>
      </c>
      <c r="G22" s="90" t="s">
        <v>50</v>
      </c>
      <c r="H22" s="88"/>
    </row>
    <row r="23" spans="1:8" s="87" customFormat="1" x14ac:dyDescent="0.2">
      <c r="A23" s="44" t="s">
        <v>218</v>
      </c>
      <c r="B23" s="6" t="s">
        <v>231</v>
      </c>
      <c r="C23" s="90"/>
      <c r="D23" s="44" t="s">
        <v>95</v>
      </c>
      <c r="E23" s="89">
        <v>2</v>
      </c>
      <c r="F23" s="90">
        <v>2</v>
      </c>
      <c r="G23" s="90" t="s">
        <v>52</v>
      </c>
      <c r="H23" s="88"/>
    </row>
    <row r="24" spans="1:8" s="87" customFormat="1" x14ac:dyDescent="0.2">
      <c r="A24" s="44" t="s">
        <v>218</v>
      </c>
      <c r="B24" s="6" t="s">
        <v>231</v>
      </c>
      <c r="C24" s="90"/>
      <c r="D24" s="44" t="s">
        <v>95</v>
      </c>
      <c r="E24" s="89">
        <v>3</v>
      </c>
      <c r="F24" s="90">
        <v>3</v>
      </c>
      <c r="G24" s="90" t="s">
        <v>44</v>
      </c>
      <c r="H24" s="88"/>
    </row>
    <row r="25" spans="1:8" s="7" customFormat="1" x14ac:dyDescent="0.2">
      <c r="A25" s="85" t="s">
        <v>228</v>
      </c>
      <c r="B25" s="6" t="s">
        <v>231</v>
      </c>
      <c r="D25" s="85" t="s">
        <v>95</v>
      </c>
      <c r="E25" s="85">
        <v>1</v>
      </c>
      <c r="F25" s="91">
        <v>10</v>
      </c>
      <c r="G25" s="86" t="s">
        <v>177</v>
      </c>
      <c r="H25" s="19"/>
    </row>
    <row r="26" spans="1:8" s="7" customFormat="1" x14ac:dyDescent="0.2">
      <c r="A26" s="85" t="s">
        <v>228</v>
      </c>
      <c r="B26" s="6" t="s">
        <v>231</v>
      </c>
      <c r="D26" s="7" t="s">
        <v>95</v>
      </c>
      <c r="E26" s="85">
        <v>2</v>
      </c>
      <c r="F26" s="91">
        <v>20</v>
      </c>
      <c r="G26" s="86" t="s">
        <v>179</v>
      </c>
      <c r="H26" s="19"/>
    </row>
    <row r="27" spans="1:8" s="7" customFormat="1" x14ac:dyDescent="0.2">
      <c r="A27" s="85" t="s">
        <v>241</v>
      </c>
      <c r="B27" s="6" t="s">
        <v>231</v>
      </c>
      <c r="D27" s="7" t="s">
        <v>95</v>
      </c>
      <c r="E27" s="85">
        <v>1</v>
      </c>
      <c r="F27" s="86" t="s">
        <v>177</v>
      </c>
      <c r="G27" s="7" t="s">
        <v>229</v>
      </c>
      <c r="H27" s="19"/>
    </row>
    <row r="28" spans="1:8" s="7" customFormat="1" x14ac:dyDescent="0.2">
      <c r="A28" s="85" t="s">
        <v>241</v>
      </c>
      <c r="B28" s="6" t="s">
        <v>231</v>
      </c>
      <c r="D28" s="7" t="s">
        <v>95</v>
      </c>
      <c r="E28" s="85">
        <v>2</v>
      </c>
      <c r="F28" s="86" t="s">
        <v>179</v>
      </c>
      <c r="G28" s="7" t="s">
        <v>230</v>
      </c>
      <c r="H28" s="19"/>
    </row>
  </sheetData>
  <autoFilter ref="A1:B1"/>
  <phoneticPr fontId="4" type="noConversion"/>
  <dataValidations count="6">
    <dataValidation type="custom" allowBlank="1" showInputMessage="1" showErrorMessage="1" errorTitle="CT Name is not correct" error="The Controlled Terminology Name is either longer than 8 characters or contains one of the following special characters:_x000a_&quot;_x000a_'_x000a_blanks_x000a_&lt;_x000a_&gt;_x000a_&amp;" sqref="A65146:A1048576">
      <formula1>AND(ISERROR(FIND("&lt;",cellhelp)),ISERROR(FIND("&gt;",cellhelp)),ISERROR(FIND("’",cellhelp)),ISERROR(FIND("&amp;",cellhelp)),ISERROR(FIND(" ",cellhelp)),ISERROR(FIND("""",cellhelp)),LEN(cellhelp)&lt;33)</formula1>
    </dataValidation>
    <dataValidation allowBlank="1" showErrorMessage="1" sqref="D1:G1"/>
    <dataValidation allowBlank="1" showInputMessage="1" showErrorMessage="1" errorTitle="CT Name is not correct" error="The Controlled Terminology Name is either longer than 8 characters or contains one of the following special characters:_x000a_&quot;_x000a_'_x000a_blanks_x000a_&lt;_x000a_&gt;_x000a_&amp;" sqref="A1"/>
    <dataValidation type="list" allowBlank="1" showInputMessage="1" showErrorMessage="1" errorTitle="Wrong Controlled Terminolog Type" error="Controlled Terminologys can only have the types text, integer or float. Please choose one of them." sqref="D2:D65156">
      <formula1>"text,integer,float"</formula1>
    </dataValidation>
    <dataValidation type="custom" allowBlank="1" showInputMessage="1" showErrorMessage="1" errorTitle="Sort is not numeric" error="Please use only numeric values in the sort order." sqref="E2:E65156">
      <formula1>ISNUMBER(cellhelp)</formula1>
    </dataValidation>
    <dataValidation type="custom" allowBlank="1" showInputMessage="1" showErrorMessage="1" errorTitle="CT Name is not correct" error="The Controlled Terminology Name is either longer than 32 characters or contains one of the following special characters:_x000a_&quot;_x000a_'_x000a_blanks_x000a_&lt;_x000a_&gt;_x000a_&amp;" sqref="A2:A65145">
      <formula1>AND(ISERROR(FIND("&lt;",cellhelp)),ISERROR(FIND("&gt;",cellhelp)),ISERROR(FIND("’",cellhelp)),ISERROR(FIND("&amp;",cellhelp)),ISERROR(FIND(" ",cellhelp)),ISERROR(FIND("""",cellhelp)),LEN(cellhelp)&lt;33)</formula1>
    </dataValidation>
  </dataValidations>
  <pageMargins left="0.70866141732283472" right="0.70866141732283472" top="0.98425196850393704" bottom="0.98425196850393704" header="0.70866141732283472" footer="0.70866141732283472"/>
  <pageSetup paperSize="9" scale="79" fitToHeight="0" orientation="landscape" r:id="rId1"/>
  <headerFooter>
    <oddHeader>&amp;LProject Analaysis Dataset Template&amp;RCT</oddHeader>
    <oddFooter>&amp;LPage &amp;P of &amp;N&amp;R&amp;8 &amp;K00-048001-MCG-410_RD-07 (1.0) / saved on: 08 Oct 2015</oddFooter>
  </headerFooter>
  <ignoredErrors>
    <ignoredError sqref="F8 F12:F13" numberStoredAsText="1"/>
  </ignoredErrors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F33"/>
  <sheetViews>
    <sheetView zoomScaleNormal="100" workbookViewId="0">
      <pane ySplit="1" topLeftCell="A2" activePane="bottomLeft" state="frozen"/>
      <selection pane="bottomLeft" activeCell="B5" sqref="B5"/>
    </sheetView>
  </sheetViews>
  <sheetFormatPr defaultColWidth="9.140625" defaultRowHeight="12.75" x14ac:dyDescent="0.2"/>
  <cols>
    <col min="1" max="1" width="11.85546875" style="2" bestFit="1" customWidth="1"/>
    <col min="2" max="2" width="37.42578125" style="41" bestFit="1" customWidth="1"/>
    <col min="3" max="3" width="16.5703125" style="36" bestFit="1" customWidth="1"/>
    <col min="4" max="4" width="21" style="2" bestFit="1" customWidth="1"/>
    <col min="5" max="5" width="28.5703125" style="2" bestFit="1" customWidth="1"/>
    <col min="6" max="6" width="8.140625" style="2" bestFit="1" customWidth="1"/>
    <col min="7" max="16384" width="9.140625" style="2"/>
  </cols>
  <sheetData>
    <row r="1" spans="1:6" x14ac:dyDescent="0.2">
      <c r="A1" s="14" t="s">
        <v>38</v>
      </c>
      <c r="B1" s="39" t="s">
        <v>134</v>
      </c>
      <c r="C1" s="22" t="s">
        <v>131</v>
      </c>
      <c r="D1" s="14" t="s">
        <v>97</v>
      </c>
      <c r="E1" s="14" t="s">
        <v>98</v>
      </c>
      <c r="F1" s="14" t="s">
        <v>60</v>
      </c>
    </row>
    <row r="2" spans="1:6" x14ac:dyDescent="0.2">
      <c r="A2" s="19"/>
      <c r="B2" s="40"/>
      <c r="C2" s="6"/>
      <c r="D2" s="19"/>
      <c r="E2" s="47"/>
      <c r="F2" s="19"/>
    </row>
    <row r="3" spans="1:6" x14ac:dyDescent="0.2">
      <c r="A3" s="46"/>
      <c r="B3" s="43"/>
      <c r="C3" s="6"/>
      <c r="D3" s="19"/>
      <c r="E3" s="47"/>
      <c r="F3" s="19"/>
    </row>
    <row r="4" spans="1:6" x14ac:dyDescent="0.2">
      <c r="A4" s="19"/>
      <c r="B4" s="40"/>
      <c r="C4" s="6"/>
      <c r="D4" s="19"/>
      <c r="E4" s="47"/>
      <c r="F4" s="19"/>
    </row>
    <row r="5" spans="1:6" x14ac:dyDescent="0.2">
      <c r="A5" s="46"/>
      <c r="B5" s="43"/>
      <c r="C5" s="6"/>
      <c r="D5" s="19"/>
      <c r="E5" s="47"/>
      <c r="F5" s="19"/>
    </row>
    <row r="6" spans="1:6" x14ac:dyDescent="0.2">
      <c r="A6" s="19"/>
      <c r="B6" s="40"/>
      <c r="C6" s="6"/>
      <c r="D6" s="19"/>
      <c r="E6" s="19"/>
      <c r="F6" s="19"/>
    </row>
    <row r="7" spans="1:6" x14ac:dyDescent="0.2">
      <c r="A7" s="7"/>
      <c r="B7" s="40"/>
      <c r="C7" s="34"/>
      <c r="D7" s="7"/>
      <c r="E7" s="7"/>
      <c r="F7" s="7"/>
    </row>
    <row r="8" spans="1:6" x14ac:dyDescent="0.2">
      <c r="A8" s="7"/>
      <c r="B8" s="40"/>
      <c r="C8" s="34"/>
      <c r="D8" s="7"/>
      <c r="E8" s="7"/>
      <c r="F8" s="7"/>
    </row>
    <row r="9" spans="1:6" x14ac:dyDescent="0.2">
      <c r="A9" s="7"/>
      <c r="B9" s="40"/>
      <c r="C9" s="34"/>
      <c r="D9" s="7"/>
      <c r="E9" s="7"/>
      <c r="F9" s="7"/>
    </row>
    <row r="10" spans="1:6" x14ac:dyDescent="0.2">
      <c r="A10" s="7"/>
      <c r="B10" s="40"/>
      <c r="C10" s="34"/>
      <c r="D10" s="7"/>
      <c r="E10" s="7"/>
      <c r="F10" s="7"/>
    </row>
    <row r="11" spans="1:6" x14ac:dyDescent="0.2">
      <c r="A11" s="7"/>
      <c r="B11" s="40"/>
      <c r="C11" s="34"/>
      <c r="D11" s="7"/>
      <c r="E11" s="7"/>
      <c r="F11" s="7"/>
    </row>
    <row r="12" spans="1:6" x14ac:dyDescent="0.2">
      <c r="A12" s="7"/>
      <c r="B12" s="40"/>
      <c r="C12" s="34"/>
      <c r="D12" s="7"/>
      <c r="E12" s="7"/>
      <c r="F12" s="7"/>
    </row>
    <row r="13" spans="1:6" x14ac:dyDescent="0.2">
      <c r="A13" s="7"/>
      <c r="B13" s="40"/>
      <c r="C13" s="34"/>
      <c r="D13" s="7"/>
      <c r="E13" s="7"/>
      <c r="F13" s="7"/>
    </row>
    <row r="14" spans="1:6" x14ac:dyDescent="0.2">
      <c r="A14" s="7"/>
      <c r="B14" s="40"/>
      <c r="C14" s="34"/>
      <c r="D14" s="7"/>
      <c r="E14" s="7"/>
      <c r="F14" s="7"/>
    </row>
    <row r="15" spans="1:6" x14ac:dyDescent="0.2">
      <c r="A15" s="7"/>
      <c r="B15" s="40"/>
      <c r="C15" s="34"/>
      <c r="D15" s="7"/>
      <c r="E15" s="7"/>
      <c r="F15" s="7"/>
    </row>
    <row r="16" spans="1:6" x14ac:dyDescent="0.2">
      <c r="A16" s="7"/>
      <c r="B16" s="40"/>
      <c r="C16" s="34"/>
      <c r="D16" s="7"/>
      <c r="E16" s="7"/>
      <c r="F16" s="7"/>
    </row>
    <row r="17" spans="1:6" x14ac:dyDescent="0.2">
      <c r="A17" s="7"/>
      <c r="B17" s="40"/>
      <c r="C17" s="34"/>
      <c r="D17" s="7"/>
      <c r="E17" s="7"/>
      <c r="F17" s="7"/>
    </row>
    <row r="18" spans="1:6" x14ac:dyDescent="0.2">
      <c r="A18" s="7"/>
      <c r="B18" s="40"/>
      <c r="C18" s="34"/>
      <c r="D18" s="7"/>
      <c r="E18" s="7"/>
      <c r="F18" s="7"/>
    </row>
    <row r="19" spans="1:6" x14ac:dyDescent="0.2">
      <c r="A19" s="7"/>
      <c r="B19" s="40"/>
      <c r="C19" s="34"/>
      <c r="D19" s="7"/>
      <c r="E19" s="7"/>
      <c r="F19" s="7"/>
    </row>
    <row r="20" spans="1:6" x14ac:dyDescent="0.2">
      <c r="A20" s="7"/>
      <c r="B20" s="40"/>
      <c r="C20" s="34"/>
      <c r="D20" s="7"/>
      <c r="E20" s="7"/>
      <c r="F20" s="7"/>
    </row>
    <row r="21" spans="1:6" x14ac:dyDescent="0.2">
      <c r="A21" s="7"/>
      <c r="B21" s="40"/>
      <c r="C21" s="34"/>
      <c r="D21" s="7"/>
      <c r="E21" s="7"/>
      <c r="F21" s="7"/>
    </row>
    <row r="22" spans="1:6" x14ac:dyDescent="0.2">
      <c r="A22" s="7"/>
      <c r="B22" s="40"/>
      <c r="C22" s="34"/>
      <c r="D22" s="7"/>
      <c r="E22" s="7"/>
      <c r="F22" s="7"/>
    </row>
    <row r="23" spans="1:6" x14ac:dyDescent="0.2">
      <c r="A23" s="7"/>
      <c r="B23" s="40"/>
      <c r="C23" s="34"/>
      <c r="D23" s="7"/>
      <c r="E23" s="7"/>
      <c r="F23" s="7"/>
    </row>
    <row r="24" spans="1:6" x14ac:dyDescent="0.2">
      <c r="A24" s="7"/>
      <c r="B24" s="40"/>
      <c r="C24" s="34"/>
      <c r="D24" s="7"/>
      <c r="E24" s="7"/>
      <c r="F24" s="7"/>
    </row>
    <row r="25" spans="1:6" x14ac:dyDescent="0.2">
      <c r="A25" s="7"/>
      <c r="B25" s="40"/>
      <c r="C25" s="34"/>
      <c r="D25" s="7"/>
      <c r="E25" s="7"/>
      <c r="F25" s="7"/>
    </row>
    <row r="26" spans="1:6" x14ac:dyDescent="0.2">
      <c r="A26" s="7"/>
      <c r="B26" s="40"/>
      <c r="C26" s="34"/>
      <c r="D26" s="7"/>
      <c r="E26" s="7"/>
      <c r="F26" s="7"/>
    </row>
    <row r="27" spans="1:6" x14ac:dyDescent="0.2">
      <c r="A27" s="7"/>
      <c r="B27" s="40"/>
      <c r="C27" s="34"/>
      <c r="D27" s="7"/>
      <c r="E27" s="7"/>
      <c r="F27" s="7"/>
    </row>
    <row r="28" spans="1:6" x14ac:dyDescent="0.2">
      <c r="A28" s="7"/>
      <c r="B28" s="40"/>
      <c r="C28" s="34"/>
      <c r="D28" s="7"/>
      <c r="E28" s="7"/>
      <c r="F28" s="7"/>
    </row>
    <row r="29" spans="1:6" x14ac:dyDescent="0.2">
      <c r="A29" s="7"/>
      <c r="B29" s="40"/>
      <c r="C29" s="34"/>
      <c r="D29" s="7"/>
      <c r="E29" s="7"/>
      <c r="F29" s="7"/>
    </row>
    <row r="30" spans="1:6" x14ac:dyDescent="0.2">
      <c r="A30" s="7"/>
      <c r="B30" s="40"/>
      <c r="C30" s="34"/>
      <c r="D30" s="7"/>
      <c r="E30" s="7"/>
      <c r="F30" s="7"/>
    </row>
    <row r="31" spans="1:6" x14ac:dyDescent="0.2">
      <c r="A31" s="7"/>
      <c r="B31" s="40"/>
      <c r="C31" s="34"/>
      <c r="D31" s="7"/>
      <c r="E31" s="7"/>
      <c r="F31" s="7"/>
    </row>
    <row r="32" spans="1:6" x14ac:dyDescent="0.2">
      <c r="A32" s="7"/>
      <c r="B32" s="40"/>
      <c r="C32" s="34"/>
      <c r="D32" s="7"/>
      <c r="E32" s="7"/>
      <c r="F32" s="7"/>
    </row>
    <row r="33" spans="1:6" x14ac:dyDescent="0.2">
      <c r="A33" s="7"/>
      <c r="B33" s="40"/>
      <c r="C33" s="34"/>
      <c r="D33" s="7"/>
      <c r="E33" s="7"/>
      <c r="F33" s="7"/>
    </row>
  </sheetData>
  <autoFilter ref="C1:C33"/>
  <phoneticPr fontId="4" type="noConversion"/>
  <dataValidations count="6">
    <dataValidation type="list" allowBlank="1" showInputMessage="1" showErrorMessage="1" errorTitle="External Dictionary Type" error="Controlled Terminologys can only have the types text, integer or float. Please choose one of them." sqref="F2:F65538">
      <formula1>"text,integer,float"</formula1>
    </dataValidation>
    <dataValidation allowBlank="1" showErrorMessage="1" sqref="D1:F1"/>
    <dataValidation type="custom" allowBlank="1" showInputMessage="1" showErrorMessage="1" errorTitle="CT Name is not correct" error="The Controlled Terminology Name is either longer than 8 characters or contains one of the following special characters:_x000a_&quot;_x000a_'_x000a_blanks_x000a_&lt;_x000a_&gt;_x000a_&amp;" sqref="A65539:B1048576">
      <formula1>AND(ISERROR(FIND("&lt;",cellhelp)),ISERROR(FIND("&gt;",cellhelp)),ISERROR(FIND("’",cellhelp)),ISERROR(FIND("&amp;",cellhelp)),ISERROR(FIND(" ",cellhelp)),ISERROR(FIND("""",cellhelp)),LEN(cellhelp)&lt;33)</formula1>
    </dataValidation>
    <dataValidation allowBlank="1" showInputMessage="1" showErrorMessage="1" errorTitle="CT Name is not correct" error="The Controlled Terminology Name is either longer than 8 characters or contains one of the following special characters:_x000a_&quot;_x000a_'_x000a_blanks_x000a_&lt;_x000a_&gt;_x000a_&amp;" sqref="A1:B1"/>
    <dataValidation type="custom" allowBlank="1" showInputMessage="1" showErrorMessage="1" errorTitle="CT Name is not correct" error="The Controlled Terminology Name is either longer than 32 characters or contains one of the following special characters:_x000a_&quot;_x000a_'_x000a_blanks_x000a_&lt;_x000a_&gt;_x000a_&amp;" sqref="A2:A65538 B7:B65538">
      <formula1>AND(ISERROR(FIND("&lt;",cellhelp)),ISERROR(FIND("&gt;",cellhelp)),ISERROR(FIND("’",cellhelp)),ISERROR(FIND("&amp;",cellhelp)),ISERROR(FIND(" ",cellhelp)),ISERROR(FIND("""",cellhelp)),LEN(cellhelp)&lt;33)</formula1>
    </dataValidation>
    <dataValidation allowBlank="1" showInputMessage="1" showErrorMessage="1" errorTitle="CT Name is not correct" error="The Controlled Terminology Name is either longer than 32 characters or contains one of the following special characters:_x000a_&quot;_x000a_'_x000a_blanks_x000a_&lt;_x000a_&gt;_x000a_&amp;" sqref="B2:B6"/>
  </dataValidations>
  <pageMargins left="0.70866141732283472" right="0.70866141732283472" top="0.98425196850393704" bottom="0.98425196850393704" header="0.70866141732283472" footer="0.70866141732283472"/>
  <pageSetup paperSize="9" scale="78" fitToHeight="0" orientation="portrait" r:id="rId1"/>
  <headerFooter>
    <oddHeader>&amp;LProject Analaysis Dataset Template&amp;REXTCT</oddHeader>
    <oddFooter>&amp;LPage &amp;P of &amp;N&amp;R&amp;8 &amp;K00-048001-MCG-410_RD-07 (1.0) / saved on: 08 Oct 2015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S316"/>
  <sheetViews>
    <sheetView topLeftCell="A13" workbookViewId="0">
      <selection activeCell="L17" sqref="L17"/>
    </sheetView>
  </sheetViews>
  <sheetFormatPr defaultColWidth="9.140625" defaultRowHeight="12.75" x14ac:dyDescent="0.2"/>
  <cols>
    <col min="1" max="2" width="9.140625" style="76"/>
    <col min="3" max="3" width="10.28515625" style="34" customWidth="1"/>
    <col min="4" max="4" width="9.140625" style="76"/>
    <col min="5" max="5" width="15.85546875" style="76" customWidth="1"/>
    <col min="6" max="6" width="16.42578125" style="76" customWidth="1"/>
    <col min="7" max="10" width="9.140625" style="76"/>
    <col min="11" max="11" width="13.85546875" style="76" customWidth="1"/>
    <col min="12" max="12" width="42.7109375" style="76" customWidth="1"/>
    <col min="13" max="16384" width="9.140625" style="76"/>
  </cols>
  <sheetData>
    <row r="1" spans="1:19" ht="63.75" x14ac:dyDescent="0.2">
      <c r="A1" s="78" t="s">
        <v>19</v>
      </c>
      <c r="B1" s="79" t="s">
        <v>53</v>
      </c>
      <c r="C1" s="80" t="s">
        <v>131</v>
      </c>
      <c r="D1" s="79" t="s">
        <v>109</v>
      </c>
      <c r="E1" s="79" t="s">
        <v>63</v>
      </c>
      <c r="F1" s="79" t="s">
        <v>64</v>
      </c>
      <c r="G1" s="79" t="s">
        <v>65</v>
      </c>
      <c r="H1" s="79" t="s">
        <v>66</v>
      </c>
      <c r="I1" s="81" t="s">
        <v>67</v>
      </c>
      <c r="J1" s="79" t="s">
        <v>38</v>
      </c>
      <c r="K1" s="82" t="s">
        <v>110</v>
      </c>
      <c r="L1" s="79" t="s">
        <v>39</v>
      </c>
      <c r="M1" s="79" t="s">
        <v>119</v>
      </c>
      <c r="N1" s="81" t="s">
        <v>120</v>
      </c>
      <c r="O1" s="83" t="s">
        <v>57</v>
      </c>
      <c r="P1" s="83" t="s">
        <v>118</v>
      </c>
      <c r="Q1" s="79" t="s">
        <v>40</v>
      </c>
      <c r="R1" s="83" t="s">
        <v>36</v>
      </c>
      <c r="S1" s="83" t="s">
        <v>5</v>
      </c>
    </row>
    <row r="2" spans="1:19" x14ac:dyDescent="0.2">
      <c r="A2" s="74" t="s">
        <v>68</v>
      </c>
      <c r="B2" s="73" t="s">
        <v>54</v>
      </c>
      <c r="C2" s="6" t="s">
        <v>231</v>
      </c>
      <c r="D2" s="74"/>
      <c r="E2" s="61" t="s">
        <v>72</v>
      </c>
      <c r="F2" s="62" t="s">
        <v>73</v>
      </c>
      <c r="G2" s="61" t="s">
        <v>94</v>
      </c>
      <c r="H2" s="67">
        <v>9</v>
      </c>
      <c r="I2" s="68" t="s">
        <v>144</v>
      </c>
      <c r="J2" s="61"/>
      <c r="K2" s="54" t="s">
        <v>125</v>
      </c>
      <c r="L2" s="59" t="s">
        <v>209</v>
      </c>
      <c r="M2" s="61"/>
      <c r="N2" s="70"/>
      <c r="O2" s="62"/>
      <c r="P2" s="61"/>
      <c r="Q2" s="61">
        <v>1</v>
      </c>
      <c r="R2" s="61" t="s">
        <v>6</v>
      </c>
      <c r="S2" s="61" t="s">
        <v>6</v>
      </c>
    </row>
    <row r="3" spans="1:19" ht="25.5" x14ac:dyDescent="0.2">
      <c r="A3" s="74" t="s">
        <v>68</v>
      </c>
      <c r="B3" s="73" t="s">
        <v>54</v>
      </c>
      <c r="C3" s="6" t="s">
        <v>231</v>
      </c>
      <c r="D3" s="74"/>
      <c r="E3" s="61" t="s">
        <v>74</v>
      </c>
      <c r="F3" s="62" t="s">
        <v>75</v>
      </c>
      <c r="G3" s="61" t="s">
        <v>94</v>
      </c>
      <c r="H3" s="67">
        <v>20</v>
      </c>
      <c r="I3" s="68" t="s">
        <v>203</v>
      </c>
      <c r="J3" s="61"/>
      <c r="K3" s="54" t="s">
        <v>125</v>
      </c>
      <c r="L3" s="59" t="s">
        <v>210</v>
      </c>
      <c r="M3" s="61"/>
      <c r="N3" s="70"/>
      <c r="O3" s="62"/>
      <c r="P3" s="61"/>
      <c r="Q3" s="61">
        <f>Q2+1</f>
        <v>2</v>
      </c>
      <c r="R3" s="61" t="s">
        <v>6</v>
      </c>
      <c r="S3" s="61" t="s">
        <v>6</v>
      </c>
    </row>
    <row r="4" spans="1:19" ht="25.5" x14ac:dyDescent="0.2">
      <c r="A4" s="74" t="s">
        <v>68</v>
      </c>
      <c r="B4" s="73" t="s">
        <v>54</v>
      </c>
      <c r="C4" s="6" t="s">
        <v>231</v>
      </c>
      <c r="D4" s="74"/>
      <c r="E4" s="61" t="s">
        <v>76</v>
      </c>
      <c r="F4" s="62" t="s">
        <v>77</v>
      </c>
      <c r="G4" s="61" t="s">
        <v>94</v>
      </c>
      <c r="H4" s="67">
        <v>10</v>
      </c>
      <c r="I4" s="68" t="s">
        <v>156</v>
      </c>
      <c r="J4" s="61"/>
      <c r="K4" s="54" t="s">
        <v>125</v>
      </c>
      <c r="L4" s="59" t="s">
        <v>211</v>
      </c>
      <c r="M4" s="61"/>
      <c r="N4" s="70"/>
      <c r="O4" s="62"/>
      <c r="P4" s="61"/>
      <c r="Q4" s="61">
        <f t="shared" ref="Q4:Q28" si="0">Q3+1</f>
        <v>3</v>
      </c>
      <c r="R4" s="61" t="s">
        <v>6</v>
      </c>
      <c r="S4" s="61" t="s">
        <v>6</v>
      </c>
    </row>
    <row r="5" spans="1:19" x14ac:dyDescent="0.2">
      <c r="A5" s="74" t="s">
        <v>68</v>
      </c>
      <c r="B5" s="73" t="s">
        <v>54</v>
      </c>
      <c r="C5" s="6" t="s">
        <v>231</v>
      </c>
      <c r="D5" s="74"/>
      <c r="E5" s="61" t="s">
        <v>78</v>
      </c>
      <c r="F5" s="62" t="s">
        <v>79</v>
      </c>
      <c r="G5" s="61" t="s">
        <v>95</v>
      </c>
      <c r="H5" s="67">
        <v>8</v>
      </c>
      <c r="I5" s="68" t="s">
        <v>204</v>
      </c>
      <c r="J5" s="61"/>
      <c r="K5" s="54" t="s">
        <v>125</v>
      </c>
      <c r="L5" s="59" t="s">
        <v>212</v>
      </c>
      <c r="M5" s="61"/>
      <c r="N5" s="70"/>
      <c r="O5" s="62"/>
      <c r="P5" s="61"/>
      <c r="Q5" s="61">
        <f t="shared" si="0"/>
        <v>4</v>
      </c>
      <c r="R5" s="61" t="s">
        <v>6</v>
      </c>
      <c r="S5" s="61" t="s">
        <v>6</v>
      </c>
    </row>
    <row r="6" spans="1:19" x14ac:dyDescent="0.2">
      <c r="A6" s="74" t="s">
        <v>68</v>
      </c>
      <c r="B6" s="73" t="s">
        <v>54</v>
      </c>
      <c r="C6" s="6" t="s">
        <v>231</v>
      </c>
      <c r="D6" s="74"/>
      <c r="E6" s="61" t="s">
        <v>80</v>
      </c>
      <c r="F6" s="62" t="s">
        <v>81</v>
      </c>
      <c r="G6" s="61" t="s">
        <v>94</v>
      </c>
      <c r="H6" s="67">
        <v>6</v>
      </c>
      <c r="I6" s="68" t="s">
        <v>205</v>
      </c>
      <c r="J6" s="69" t="str">
        <f>HYPERLINK("#CT!A" &amp; IF(ISERROR(MATCH("$AGEUC",CT!A:A,0)),1,MATCH("$AGEUC",CT!A:A,0)),"$AGEUC")</f>
        <v>$AGEUC</v>
      </c>
      <c r="K6" s="54" t="s">
        <v>125</v>
      </c>
      <c r="L6" s="59" t="s">
        <v>139</v>
      </c>
      <c r="M6" s="61"/>
      <c r="N6" s="70"/>
      <c r="O6" s="62"/>
      <c r="P6" s="61"/>
      <c r="Q6" s="61">
        <f t="shared" si="0"/>
        <v>5</v>
      </c>
      <c r="R6" s="61" t="s">
        <v>6</v>
      </c>
      <c r="S6" s="61" t="s">
        <v>6</v>
      </c>
    </row>
    <row r="7" spans="1:19" x14ac:dyDescent="0.2">
      <c r="A7" s="74" t="s">
        <v>68</v>
      </c>
      <c r="B7" s="73" t="s">
        <v>54</v>
      </c>
      <c r="C7" s="6" t="s">
        <v>231</v>
      </c>
      <c r="D7" s="74"/>
      <c r="E7" s="61" t="s">
        <v>82</v>
      </c>
      <c r="F7" s="62" t="s">
        <v>83</v>
      </c>
      <c r="G7" s="61" t="s">
        <v>94</v>
      </c>
      <c r="H7" s="64">
        <v>1</v>
      </c>
      <c r="I7" s="68" t="s">
        <v>150</v>
      </c>
      <c r="J7" s="69" t="str">
        <f>HYPERLINK("#CT!A" &amp; IF(ISERROR(MATCH("$SEXC",CT!A:A,0)),1,MATCH("$SEXC",CT!A:A,0)),"$SEXC")</f>
        <v>$SEXC</v>
      </c>
      <c r="K7" s="54" t="s">
        <v>125</v>
      </c>
      <c r="L7" s="59" t="s">
        <v>213</v>
      </c>
      <c r="M7" s="61"/>
      <c r="N7" s="70"/>
      <c r="O7" s="62"/>
      <c r="P7" s="61"/>
      <c r="Q7" s="61">
        <f t="shared" si="0"/>
        <v>6</v>
      </c>
      <c r="R7" s="61" t="s">
        <v>6</v>
      </c>
      <c r="S7" s="61" t="s">
        <v>6</v>
      </c>
    </row>
    <row r="8" spans="1:19" ht="25.5" x14ac:dyDescent="0.2">
      <c r="A8" s="74" t="s">
        <v>68</v>
      </c>
      <c r="B8" s="73" t="s">
        <v>54</v>
      </c>
      <c r="C8" s="6" t="s">
        <v>231</v>
      </c>
      <c r="D8" s="74"/>
      <c r="E8" s="58" t="s">
        <v>173</v>
      </c>
      <c r="F8" s="63" t="s">
        <v>174</v>
      </c>
      <c r="G8" s="60" t="s">
        <v>95</v>
      </c>
      <c r="H8" s="64">
        <v>8</v>
      </c>
      <c r="I8" s="68" t="s">
        <v>204</v>
      </c>
      <c r="J8" s="69" t="str">
        <f>HYPERLINK("#CT!A" &amp; IF(ISERROR(MATCH("SEXC",CT!A:A,0)),1,MATCH("SEXC",CT!A:A,0)),"SEXC")</f>
        <v>SEXC</v>
      </c>
      <c r="K8" s="61" t="s">
        <v>126</v>
      </c>
      <c r="L8" s="59" t="s">
        <v>214</v>
      </c>
      <c r="M8" s="61"/>
      <c r="N8" s="70"/>
      <c r="O8" s="62"/>
      <c r="P8" s="61"/>
      <c r="Q8" s="61">
        <f t="shared" si="0"/>
        <v>7</v>
      </c>
      <c r="R8" s="61" t="s">
        <v>6</v>
      </c>
      <c r="S8" s="61" t="s">
        <v>6</v>
      </c>
    </row>
    <row r="9" spans="1:19" ht="25.5" x14ac:dyDescent="0.2">
      <c r="A9" s="74" t="s">
        <v>68</v>
      </c>
      <c r="B9" s="73" t="s">
        <v>54</v>
      </c>
      <c r="C9" s="6" t="s">
        <v>231</v>
      </c>
      <c r="D9" s="74"/>
      <c r="E9" s="58" t="s">
        <v>175</v>
      </c>
      <c r="F9" s="59" t="s">
        <v>176</v>
      </c>
      <c r="G9" s="60" t="s">
        <v>96</v>
      </c>
      <c r="H9" s="64">
        <v>8</v>
      </c>
      <c r="I9" s="65" t="s">
        <v>206</v>
      </c>
      <c r="J9" s="69"/>
      <c r="K9" s="61" t="s">
        <v>136</v>
      </c>
      <c r="L9" s="59" t="s">
        <v>266</v>
      </c>
      <c r="M9" s="61"/>
      <c r="N9" s="70"/>
      <c r="O9" s="62"/>
      <c r="P9" s="61"/>
      <c r="Q9" s="61">
        <f t="shared" si="0"/>
        <v>8</v>
      </c>
      <c r="R9" s="61" t="s">
        <v>7</v>
      </c>
      <c r="S9" s="61" t="s">
        <v>7</v>
      </c>
    </row>
    <row r="10" spans="1:19" ht="25.5" x14ac:dyDescent="0.2">
      <c r="A10" s="74" t="s">
        <v>68</v>
      </c>
      <c r="B10" s="73" t="s">
        <v>54</v>
      </c>
      <c r="C10" s="6" t="s">
        <v>231</v>
      </c>
      <c r="D10" s="74"/>
      <c r="E10" s="74" t="s">
        <v>177</v>
      </c>
      <c r="F10" s="59" t="s">
        <v>178</v>
      </c>
      <c r="G10" s="60" t="s">
        <v>95</v>
      </c>
      <c r="H10" s="64">
        <v>8</v>
      </c>
      <c r="I10" s="65" t="s">
        <v>204</v>
      </c>
      <c r="J10" s="66"/>
      <c r="K10" s="61" t="s">
        <v>136</v>
      </c>
      <c r="L10" s="55" t="s">
        <v>267</v>
      </c>
      <c r="M10" s="61"/>
      <c r="N10" s="70"/>
      <c r="O10" s="62"/>
      <c r="P10" s="61"/>
      <c r="Q10" s="61">
        <f t="shared" si="0"/>
        <v>9</v>
      </c>
      <c r="R10" s="61"/>
      <c r="S10" s="61"/>
    </row>
    <row r="11" spans="1:19" ht="25.5" x14ac:dyDescent="0.2">
      <c r="A11" s="74" t="s">
        <v>68</v>
      </c>
      <c r="B11" s="73" t="s">
        <v>54</v>
      </c>
      <c r="C11" s="6" t="s">
        <v>231</v>
      </c>
      <c r="D11" s="74"/>
      <c r="E11" s="84" t="s">
        <v>179</v>
      </c>
      <c r="F11" s="59" t="s">
        <v>180</v>
      </c>
      <c r="G11" s="60" t="s">
        <v>95</v>
      </c>
      <c r="H11" s="64">
        <v>8</v>
      </c>
      <c r="I11" s="65" t="s">
        <v>204</v>
      </c>
      <c r="J11" s="66"/>
      <c r="K11" s="61" t="s">
        <v>136</v>
      </c>
      <c r="L11" s="55" t="s">
        <v>268</v>
      </c>
      <c r="M11" s="61"/>
      <c r="N11" s="70"/>
      <c r="O11" s="62"/>
      <c r="P11" s="61"/>
      <c r="Q11" s="61">
        <f t="shared" si="0"/>
        <v>10</v>
      </c>
      <c r="R11" s="61"/>
      <c r="S11" s="61"/>
    </row>
    <row r="12" spans="1:19" s="75" customFormat="1" ht="143.25" customHeight="1" x14ac:dyDescent="0.2">
      <c r="A12" s="74" t="s">
        <v>68</v>
      </c>
      <c r="B12" s="73" t="s">
        <v>54</v>
      </c>
      <c r="C12" s="6" t="s">
        <v>231</v>
      </c>
      <c r="D12" s="74"/>
      <c r="E12" s="58" t="s">
        <v>183</v>
      </c>
      <c r="F12" s="59" t="s">
        <v>184</v>
      </c>
      <c r="G12" s="60" t="s">
        <v>95</v>
      </c>
      <c r="H12" s="64">
        <v>8</v>
      </c>
      <c r="I12" s="65" t="s">
        <v>204</v>
      </c>
      <c r="J12" s="66"/>
      <c r="K12" s="61" t="s">
        <v>136</v>
      </c>
      <c r="L12" s="59" t="s">
        <v>216</v>
      </c>
      <c r="M12" s="61"/>
      <c r="N12" s="70"/>
      <c r="O12" s="62"/>
      <c r="P12" s="61"/>
      <c r="Q12" s="61">
        <f>Q13+1</f>
        <v>12</v>
      </c>
      <c r="R12" s="61"/>
      <c r="S12" s="61"/>
    </row>
    <row r="13" spans="1:19" ht="102" x14ac:dyDescent="0.2">
      <c r="A13" s="74" t="s">
        <v>68</v>
      </c>
      <c r="B13" s="73" t="s">
        <v>54</v>
      </c>
      <c r="C13" s="6" t="s">
        <v>231</v>
      </c>
      <c r="D13" s="74"/>
      <c r="E13" s="58" t="s">
        <v>181</v>
      </c>
      <c r="F13" s="59" t="s">
        <v>182</v>
      </c>
      <c r="G13" s="60" t="s">
        <v>94</v>
      </c>
      <c r="H13" s="64">
        <v>20</v>
      </c>
      <c r="I13" s="65" t="s">
        <v>203</v>
      </c>
      <c r="J13" s="66"/>
      <c r="K13" s="61" t="s">
        <v>136</v>
      </c>
      <c r="L13" s="59" t="s">
        <v>215</v>
      </c>
      <c r="M13" s="61"/>
      <c r="N13" s="70"/>
      <c r="O13" s="62"/>
      <c r="P13" s="61"/>
      <c r="Q13" s="61">
        <f>Q11+1</f>
        <v>11</v>
      </c>
      <c r="R13" s="61"/>
      <c r="S13" s="61"/>
    </row>
    <row r="14" spans="1:19" ht="51" x14ac:dyDescent="0.2">
      <c r="A14" s="74" t="s">
        <v>68</v>
      </c>
      <c r="B14" s="73" t="s">
        <v>54</v>
      </c>
      <c r="C14" s="6" t="s">
        <v>231</v>
      </c>
      <c r="D14" s="74"/>
      <c r="E14" s="61" t="s">
        <v>86</v>
      </c>
      <c r="F14" s="62" t="s">
        <v>87</v>
      </c>
      <c r="G14" s="61" t="s">
        <v>94</v>
      </c>
      <c r="H14" s="67">
        <v>1</v>
      </c>
      <c r="I14" s="68" t="s">
        <v>150</v>
      </c>
      <c r="J14" s="69" t="str">
        <f>HYPERLINK("#CT!A" &amp; IF(ISERROR(MATCH("$NYT",CT!A:A,0)),1,MATCH("$NYT",CT!A:A,0)),"$NYT")</f>
        <v>$NYT</v>
      </c>
      <c r="K14" s="61" t="s">
        <v>136</v>
      </c>
      <c r="L14" s="59" t="s">
        <v>269</v>
      </c>
      <c r="M14" s="61"/>
      <c r="N14" s="70"/>
      <c r="O14" s="62"/>
      <c r="P14" s="61"/>
      <c r="Q14" s="61">
        <f>Q12+1</f>
        <v>13</v>
      </c>
      <c r="R14" s="61" t="s">
        <v>8</v>
      </c>
      <c r="S14" s="61" t="s">
        <v>8</v>
      </c>
    </row>
    <row r="15" spans="1:19" ht="51" x14ac:dyDescent="0.2">
      <c r="A15" s="74" t="s">
        <v>68</v>
      </c>
      <c r="B15" s="73" t="s">
        <v>54</v>
      </c>
      <c r="C15" s="6" t="s">
        <v>231</v>
      </c>
      <c r="D15" s="74"/>
      <c r="E15" s="61" t="s">
        <v>84</v>
      </c>
      <c r="F15" s="62" t="s">
        <v>85</v>
      </c>
      <c r="G15" s="61" t="s">
        <v>94</v>
      </c>
      <c r="H15" s="67">
        <v>1</v>
      </c>
      <c r="I15" s="68" t="s">
        <v>150</v>
      </c>
      <c r="J15" s="69" t="str">
        <f>HYPERLINK("#CT!A" &amp; IF(ISERROR(MATCH("$NYT",CT!A:A,0)),1,MATCH("$NYT",CT!A:A,0)),"$NYT")</f>
        <v>$NYT</v>
      </c>
      <c r="K15" s="61" t="s">
        <v>136</v>
      </c>
      <c r="L15" s="59" t="s">
        <v>270</v>
      </c>
      <c r="M15" s="61"/>
      <c r="N15" s="70"/>
      <c r="O15" s="62"/>
      <c r="P15" s="61"/>
      <c r="Q15" s="61">
        <f t="shared" si="0"/>
        <v>14</v>
      </c>
      <c r="R15" s="61" t="s">
        <v>8</v>
      </c>
      <c r="S15" s="61" t="s">
        <v>8</v>
      </c>
    </row>
    <row r="16" spans="1:19" ht="76.5" x14ac:dyDescent="0.2">
      <c r="A16" s="74" t="s">
        <v>68</v>
      </c>
      <c r="B16" s="73" t="s">
        <v>54</v>
      </c>
      <c r="C16" s="6" t="s">
        <v>231</v>
      </c>
      <c r="D16" s="74"/>
      <c r="E16" s="61" t="s">
        <v>34</v>
      </c>
      <c r="F16" s="62" t="s">
        <v>185</v>
      </c>
      <c r="G16" s="61" t="s">
        <v>94</v>
      </c>
      <c r="H16" s="67">
        <v>1</v>
      </c>
      <c r="I16" s="68" t="s">
        <v>150</v>
      </c>
      <c r="J16" s="69" t="str">
        <f>HYPERLINK("#CT!A" &amp; IF(ISERROR(MATCH("$NYT",CT!A:A,0)),1,MATCH("$NYT",CT!A:A,0)),"$NYT")</f>
        <v>$NYT</v>
      </c>
      <c r="K16" s="61" t="s">
        <v>136</v>
      </c>
      <c r="L16" s="71" t="s">
        <v>271</v>
      </c>
      <c r="M16" s="61"/>
      <c r="N16" s="70"/>
      <c r="O16" s="62" t="s">
        <v>217</v>
      </c>
      <c r="P16" s="61"/>
      <c r="Q16" s="61">
        <f t="shared" si="0"/>
        <v>15</v>
      </c>
      <c r="R16" s="61"/>
      <c r="S16" s="61" t="s">
        <v>8</v>
      </c>
    </row>
    <row r="17" spans="1:19" ht="25.5" x14ac:dyDescent="0.2">
      <c r="A17" s="74" t="s">
        <v>68</v>
      </c>
      <c r="B17" s="73" t="s">
        <v>54</v>
      </c>
      <c r="C17" s="6" t="s">
        <v>231</v>
      </c>
      <c r="D17" s="74"/>
      <c r="E17" s="61" t="s">
        <v>92</v>
      </c>
      <c r="F17" s="62" t="s">
        <v>93</v>
      </c>
      <c r="G17" s="61" t="s">
        <v>94</v>
      </c>
      <c r="H17" s="67">
        <v>60</v>
      </c>
      <c r="I17" s="65" t="s">
        <v>207</v>
      </c>
      <c r="J17" s="69"/>
      <c r="K17" s="54" t="s">
        <v>125</v>
      </c>
      <c r="L17" s="63" t="s">
        <v>272</v>
      </c>
      <c r="M17" s="61"/>
      <c r="N17" s="70"/>
      <c r="O17" s="62"/>
      <c r="P17" s="61"/>
      <c r="Q17" s="61">
        <f t="shared" si="0"/>
        <v>16</v>
      </c>
      <c r="R17" s="61" t="s">
        <v>6</v>
      </c>
      <c r="S17" s="61" t="s">
        <v>6</v>
      </c>
    </row>
    <row r="18" spans="1:19" ht="25.5" x14ac:dyDescent="0.2">
      <c r="A18" s="74" t="s">
        <v>68</v>
      </c>
      <c r="B18" s="73" t="s">
        <v>54</v>
      </c>
      <c r="C18" s="6" t="s">
        <v>231</v>
      </c>
      <c r="D18" s="74"/>
      <c r="E18" s="61" t="s">
        <v>186</v>
      </c>
      <c r="F18" s="63" t="s">
        <v>187</v>
      </c>
      <c r="G18" s="61" t="s">
        <v>94</v>
      </c>
      <c r="H18" s="67">
        <v>15</v>
      </c>
      <c r="I18" s="65" t="s">
        <v>208</v>
      </c>
      <c r="J18" s="69"/>
      <c r="K18" s="54" t="s">
        <v>125</v>
      </c>
      <c r="L18" s="63" t="s">
        <v>273</v>
      </c>
      <c r="M18" s="61"/>
      <c r="N18" s="70"/>
      <c r="O18" s="62"/>
      <c r="P18" s="61"/>
      <c r="Q18" s="61">
        <f t="shared" si="0"/>
        <v>17</v>
      </c>
      <c r="R18" s="61" t="s">
        <v>6</v>
      </c>
      <c r="S18" s="61" t="s">
        <v>6</v>
      </c>
    </row>
    <row r="19" spans="1:19" x14ac:dyDescent="0.2">
      <c r="A19" s="74" t="s">
        <v>68</v>
      </c>
      <c r="B19" s="73" t="s">
        <v>54</v>
      </c>
      <c r="C19" s="6" t="s">
        <v>231</v>
      </c>
      <c r="D19" s="74"/>
      <c r="E19" s="61" t="s">
        <v>188</v>
      </c>
      <c r="F19" s="63" t="s">
        <v>189</v>
      </c>
      <c r="G19" s="60" t="s">
        <v>95</v>
      </c>
      <c r="H19" s="64">
        <v>8</v>
      </c>
      <c r="I19" s="65" t="s">
        <v>204</v>
      </c>
      <c r="J19" s="69"/>
      <c r="K19" s="61" t="s">
        <v>126</v>
      </c>
      <c r="L19" s="56" t="s">
        <v>258</v>
      </c>
      <c r="M19" s="61"/>
      <c r="N19" s="70"/>
      <c r="O19" s="62"/>
      <c r="P19" s="61"/>
      <c r="Q19" s="61">
        <f t="shared" si="0"/>
        <v>18</v>
      </c>
      <c r="R19" s="61" t="s">
        <v>6</v>
      </c>
      <c r="S19" s="61" t="s">
        <v>6</v>
      </c>
    </row>
    <row r="20" spans="1:19" ht="25.5" x14ac:dyDescent="0.2">
      <c r="A20" s="74" t="s">
        <v>68</v>
      </c>
      <c r="B20" s="73" t="s">
        <v>54</v>
      </c>
      <c r="C20" s="6" t="s">
        <v>231</v>
      </c>
      <c r="D20" s="74"/>
      <c r="E20" s="61" t="s">
        <v>190</v>
      </c>
      <c r="F20" s="63" t="s">
        <v>191</v>
      </c>
      <c r="G20" s="60" t="s">
        <v>94</v>
      </c>
      <c r="H20" s="64">
        <v>20</v>
      </c>
      <c r="I20" s="65" t="s">
        <v>203</v>
      </c>
      <c r="J20" s="69"/>
      <c r="K20" s="61" t="s">
        <v>126</v>
      </c>
      <c r="L20" s="56" t="s">
        <v>259</v>
      </c>
      <c r="M20" s="61"/>
      <c r="N20" s="70"/>
      <c r="O20" s="62"/>
      <c r="P20" s="61"/>
      <c r="Q20" s="61">
        <f t="shared" si="0"/>
        <v>19</v>
      </c>
      <c r="R20" s="61" t="s">
        <v>6</v>
      </c>
      <c r="S20" s="61" t="s">
        <v>6</v>
      </c>
    </row>
    <row r="21" spans="1:19" x14ac:dyDescent="0.2">
      <c r="A21" s="74" t="s">
        <v>68</v>
      </c>
      <c r="B21" s="73" t="s">
        <v>54</v>
      </c>
      <c r="C21" s="6" t="s">
        <v>231</v>
      </c>
      <c r="D21" s="74"/>
      <c r="E21" s="61" t="s">
        <v>12</v>
      </c>
      <c r="F21" s="63" t="s">
        <v>192</v>
      </c>
      <c r="G21" s="60" t="s">
        <v>94</v>
      </c>
      <c r="H21" s="64">
        <v>60</v>
      </c>
      <c r="I21" s="65" t="s">
        <v>207</v>
      </c>
      <c r="J21" s="69"/>
      <c r="K21" s="61" t="s">
        <v>125</v>
      </c>
      <c r="L21" s="56" t="s">
        <v>274</v>
      </c>
      <c r="M21" s="61"/>
      <c r="N21" s="70"/>
      <c r="O21" s="62"/>
      <c r="P21" s="61"/>
      <c r="Q21" s="61">
        <f t="shared" si="0"/>
        <v>20</v>
      </c>
      <c r="R21" s="61" t="s">
        <v>6</v>
      </c>
      <c r="S21" s="61" t="s">
        <v>6</v>
      </c>
    </row>
    <row r="22" spans="1:19" x14ac:dyDescent="0.2">
      <c r="A22" s="74" t="s">
        <v>68</v>
      </c>
      <c r="B22" s="73" t="s">
        <v>54</v>
      </c>
      <c r="C22" s="6" t="s">
        <v>231</v>
      </c>
      <c r="D22" s="74"/>
      <c r="E22" s="61" t="s">
        <v>193</v>
      </c>
      <c r="F22" s="63" t="s">
        <v>194</v>
      </c>
      <c r="G22" s="60" t="s">
        <v>94</v>
      </c>
      <c r="H22" s="64">
        <v>15</v>
      </c>
      <c r="I22" s="65" t="s">
        <v>208</v>
      </c>
      <c r="J22" s="69"/>
      <c r="K22" s="61" t="s">
        <v>125</v>
      </c>
      <c r="L22" s="56" t="s">
        <v>275</v>
      </c>
      <c r="M22" s="61"/>
      <c r="N22" s="70"/>
      <c r="O22" s="62"/>
      <c r="P22" s="61"/>
      <c r="Q22" s="61">
        <f t="shared" si="0"/>
        <v>21</v>
      </c>
      <c r="R22" s="61" t="s">
        <v>6</v>
      </c>
      <c r="S22" s="61" t="s">
        <v>6</v>
      </c>
    </row>
    <row r="23" spans="1:19" x14ac:dyDescent="0.2">
      <c r="A23" s="74" t="s">
        <v>68</v>
      </c>
      <c r="B23" s="73" t="s">
        <v>54</v>
      </c>
      <c r="C23" s="6" t="s">
        <v>231</v>
      </c>
      <c r="D23" s="74"/>
      <c r="E23" s="61" t="s">
        <v>195</v>
      </c>
      <c r="F23" s="63" t="s">
        <v>196</v>
      </c>
      <c r="G23" s="60" t="s">
        <v>95</v>
      </c>
      <c r="H23" s="64">
        <v>8</v>
      </c>
      <c r="I23" s="68" t="s">
        <v>204</v>
      </c>
      <c r="J23" s="69"/>
      <c r="K23" s="61" t="s">
        <v>126</v>
      </c>
      <c r="L23" s="56" t="s">
        <v>260</v>
      </c>
      <c r="M23" s="61"/>
      <c r="N23" s="70"/>
      <c r="O23" s="62"/>
      <c r="P23" s="61"/>
      <c r="Q23" s="61">
        <f t="shared" si="0"/>
        <v>22</v>
      </c>
      <c r="R23" s="61" t="s">
        <v>6</v>
      </c>
      <c r="S23" s="61" t="s">
        <v>6</v>
      </c>
    </row>
    <row r="24" spans="1:19" ht="25.5" x14ac:dyDescent="0.2">
      <c r="A24" s="74" t="s">
        <v>68</v>
      </c>
      <c r="B24" s="73" t="s">
        <v>54</v>
      </c>
      <c r="C24" s="6" t="s">
        <v>231</v>
      </c>
      <c r="D24" s="74"/>
      <c r="E24" s="61" t="s">
        <v>197</v>
      </c>
      <c r="F24" s="63" t="s">
        <v>198</v>
      </c>
      <c r="G24" s="60" t="s">
        <v>94</v>
      </c>
      <c r="H24" s="64">
        <v>20</v>
      </c>
      <c r="I24" s="65" t="s">
        <v>203</v>
      </c>
      <c r="J24" s="69"/>
      <c r="K24" s="61" t="s">
        <v>126</v>
      </c>
      <c r="L24" s="56" t="s">
        <v>261</v>
      </c>
      <c r="M24" s="61"/>
      <c r="N24" s="70"/>
      <c r="O24" s="62"/>
      <c r="P24" s="61"/>
      <c r="Q24" s="61">
        <f t="shared" si="0"/>
        <v>23</v>
      </c>
      <c r="R24" s="61" t="s">
        <v>6</v>
      </c>
      <c r="S24" s="61" t="s">
        <v>6</v>
      </c>
    </row>
    <row r="25" spans="1:19" ht="38.25" x14ac:dyDescent="0.2">
      <c r="A25" s="74" t="s">
        <v>68</v>
      </c>
      <c r="B25" s="73" t="s">
        <v>54</v>
      </c>
      <c r="C25" s="6" t="s">
        <v>231</v>
      </c>
      <c r="D25" s="74"/>
      <c r="E25" s="61" t="s">
        <v>276</v>
      </c>
      <c r="F25" s="62" t="s">
        <v>199</v>
      </c>
      <c r="G25" s="61" t="s">
        <v>94</v>
      </c>
      <c r="H25" s="67">
        <v>60</v>
      </c>
      <c r="I25" s="68" t="s">
        <v>207</v>
      </c>
      <c r="J25" s="69"/>
      <c r="K25" s="61" t="s">
        <v>136</v>
      </c>
      <c r="L25" s="56" t="s">
        <v>262</v>
      </c>
      <c r="M25" s="61"/>
      <c r="N25" s="70"/>
      <c r="O25" s="72"/>
      <c r="P25" s="61"/>
      <c r="Q25" s="61">
        <f t="shared" si="0"/>
        <v>24</v>
      </c>
      <c r="R25" s="61" t="s">
        <v>6</v>
      </c>
      <c r="S25" s="61" t="s">
        <v>6</v>
      </c>
    </row>
    <row r="26" spans="1:19" ht="38.25" x14ac:dyDescent="0.2">
      <c r="A26" s="74" t="s">
        <v>68</v>
      </c>
      <c r="B26" s="73" t="s">
        <v>54</v>
      </c>
      <c r="C26" s="6" t="s">
        <v>231</v>
      </c>
      <c r="D26" s="74"/>
      <c r="E26" s="61" t="s">
        <v>277</v>
      </c>
      <c r="F26" s="62" t="s">
        <v>200</v>
      </c>
      <c r="G26" s="61" t="s">
        <v>95</v>
      </c>
      <c r="H26" s="67">
        <v>8</v>
      </c>
      <c r="I26" s="68" t="s">
        <v>204</v>
      </c>
      <c r="J26" s="69"/>
      <c r="K26" s="61" t="s">
        <v>126</v>
      </c>
      <c r="L26" s="56" t="s">
        <v>263</v>
      </c>
      <c r="M26" s="61"/>
      <c r="N26" s="70"/>
      <c r="O26" s="62"/>
      <c r="P26" s="61"/>
      <c r="Q26" s="61">
        <f t="shared" si="0"/>
        <v>25</v>
      </c>
      <c r="R26" s="61" t="s">
        <v>7</v>
      </c>
      <c r="S26" s="61" t="s">
        <v>7</v>
      </c>
    </row>
    <row r="27" spans="1:19" ht="25.5" x14ac:dyDescent="0.2">
      <c r="A27" s="74" t="s">
        <v>68</v>
      </c>
      <c r="B27" s="73" t="s">
        <v>54</v>
      </c>
      <c r="C27" s="6" t="s">
        <v>231</v>
      </c>
      <c r="D27" s="74"/>
      <c r="E27" s="61" t="s">
        <v>278</v>
      </c>
      <c r="F27" s="62" t="s">
        <v>201</v>
      </c>
      <c r="G27" s="61" t="s">
        <v>94</v>
      </c>
      <c r="H27" s="67">
        <v>60</v>
      </c>
      <c r="I27" s="68" t="s">
        <v>207</v>
      </c>
      <c r="J27" s="69"/>
      <c r="K27" s="61" t="s">
        <v>136</v>
      </c>
      <c r="L27" s="56" t="s">
        <v>264</v>
      </c>
      <c r="M27" s="61"/>
      <c r="N27" s="70"/>
      <c r="O27" s="72"/>
      <c r="P27" s="61"/>
      <c r="Q27" s="61">
        <f t="shared" si="0"/>
        <v>26</v>
      </c>
      <c r="R27" s="61" t="s">
        <v>8</v>
      </c>
      <c r="S27" s="61" t="s">
        <v>8</v>
      </c>
    </row>
    <row r="28" spans="1:19" ht="25.5" x14ac:dyDescent="0.2">
      <c r="A28" s="74" t="s">
        <v>68</v>
      </c>
      <c r="B28" s="73" t="s">
        <v>54</v>
      </c>
      <c r="C28" s="6" t="s">
        <v>231</v>
      </c>
      <c r="D28" s="74"/>
      <c r="E28" s="61" t="s">
        <v>279</v>
      </c>
      <c r="F28" s="62" t="s">
        <v>202</v>
      </c>
      <c r="G28" s="61" t="s">
        <v>95</v>
      </c>
      <c r="H28" s="67">
        <v>8</v>
      </c>
      <c r="I28" s="68" t="s">
        <v>204</v>
      </c>
      <c r="J28" s="69"/>
      <c r="K28" s="61" t="s">
        <v>126</v>
      </c>
      <c r="L28" s="56" t="s">
        <v>265</v>
      </c>
      <c r="M28" s="61"/>
      <c r="N28" s="70"/>
      <c r="O28" s="62"/>
      <c r="P28" s="61"/>
      <c r="Q28" s="61">
        <f t="shared" si="0"/>
        <v>27</v>
      </c>
      <c r="R28" s="61" t="s">
        <v>7</v>
      </c>
      <c r="S28" s="61" t="s">
        <v>7</v>
      </c>
    </row>
    <row r="29" spans="1:19" x14ac:dyDescent="0.2">
      <c r="C29" s="77"/>
    </row>
    <row r="30" spans="1:19" x14ac:dyDescent="0.2">
      <c r="C30" s="77"/>
    </row>
    <row r="31" spans="1:19" x14ac:dyDescent="0.2">
      <c r="C31" s="35"/>
    </row>
    <row r="32" spans="1:19" x14ac:dyDescent="0.2">
      <c r="C32" s="35"/>
    </row>
    <row r="33" spans="3:3" x14ac:dyDescent="0.2">
      <c r="C33" s="35"/>
    </row>
    <row r="34" spans="3:3" x14ac:dyDescent="0.2">
      <c r="C34" s="35"/>
    </row>
    <row r="35" spans="3:3" x14ac:dyDescent="0.2">
      <c r="C35" s="35"/>
    </row>
    <row r="36" spans="3:3" x14ac:dyDescent="0.2">
      <c r="C36" s="35"/>
    </row>
    <row r="37" spans="3:3" x14ac:dyDescent="0.2">
      <c r="C37" s="35"/>
    </row>
    <row r="38" spans="3:3" x14ac:dyDescent="0.2">
      <c r="C38" s="35"/>
    </row>
    <row r="39" spans="3:3" x14ac:dyDescent="0.2">
      <c r="C39" s="35"/>
    </row>
    <row r="40" spans="3:3" x14ac:dyDescent="0.2">
      <c r="C40" s="35"/>
    </row>
    <row r="41" spans="3:3" x14ac:dyDescent="0.2">
      <c r="C41" s="35"/>
    </row>
    <row r="42" spans="3:3" x14ac:dyDescent="0.2">
      <c r="C42" s="35"/>
    </row>
    <row r="43" spans="3:3" x14ac:dyDescent="0.2">
      <c r="C43" s="35"/>
    </row>
    <row r="44" spans="3:3" x14ac:dyDescent="0.2">
      <c r="C44" s="35"/>
    </row>
    <row r="45" spans="3:3" x14ac:dyDescent="0.2">
      <c r="C45" s="35"/>
    </row>
    <row r="46" spans="3:3" x14ac:dyDescent="0.2">
      <c r="C46" s="35"/>
    </row>
    <row r="47" spans="3:3" x14ac:dyDescent="0.2">
      <c r="C47" s="35"/>
    </row>
    <row r="48" spans="3:3" x14ac:dyDescent="0.2">
      <c r="C48" s="35"/>
    </row>
    <row r="49" spans="3:3" x14ac:dyDescent="0.2">
      <c r="C49" s="35"/>
    </row>
    <row r="50" spans="3:3" x14ac:dyDescent="0.2">
      <c r="C50" s="35"/>
    </row>
    <row r="51" spans="3:3" x14ac:dyDescent="0.2">
      <c r="C51" s="35"/>
    </row>
    <row r="52" spans="3:3" x14ac:dyDescent="0.2">
      <c r="C52" s="35"/>
    </row>
    <row r="53" spans="3:3" x14ac:dyDescent="0.2">
      <c r="C53" s="35"/>
    </row>
    <row r="54" spans="3:3" x14ac:dyDescent="0.2">
      <c r="C54" s="35"/>
    </row>
    <row r="55" spans="3:3" x14ac:dyDescent="0.2">
      <c r="C55" s="35"/>
    </row>
    <row r="56" spans="3:3" x14ac:dyDescent="0.2">
      <c r="C56" s="35"/>
    </row>
    <row r="57" spans="3:3" x14ac:dyDescent="0.2">
      <c r="C57" s="35"/>
    </row>
    <row r="58" spans="3:3" x14ac:dyDescent="0.2">
      <c r="C58" s="35"/>
    </row>
    <row r="59" spans="3:3" x14ac:dyDescent="0.2">
      <c r="C59" s="35"/>
    </row>
    <row r="60" spans="3:3" x14ac:dyDescent="0.2">
      <c r="C60" s="35"/>
    </row>
    <row r="61" spans="3:3" x14ac:dyDescent="0.2">
      <c r="C61" s="35"/>
    </row>
    <row r="62" spans="3:3" x14ac:dyDescent="0.2">
      <c r="C62" s="35"/>
    </row>
    <row r="63" spans="3:3" x14ac:dyDescent="0.2">
      <c r="C63" s="35"/>
    </row>
    <row r="64" spans="3:3" x14ac:dyDescent="0.2">
      <c r="C64" s="35"/>
    </row>
    <row r="65" spans="3:3" x14ac:dyDescent="0.2">
      <c r="C65" s="35"/>
    </row>
    <row r="66" spans="3:3" x14ac:dyDescent="0.2">
      <c r="C66" s="35"/>
    </row>
    <row r="67" spans="3:3" x14ac:dyDescent="0.2">
      <c r="C67" s="35"/>
    </row>
    <row r="68" spans="3:3" x14ac:dyDescent="0.2">
      <c r="C68" s="35"/>
    </row>
    <row r="69" spans="3:3" x14ac:dyDescent="0.2">
      <c r="C69" s="35"/>
    </row>
    <row r="70" spans="3:3" x14ac:dyDescent="0.2">
      <c r="C70" s="35"/>
    </row>
    <row r="71" spans="3:3" x14ac:dyDescent="0.2">
      <c r="C71" s="35"/>
    </row>
    <row r="72" spans="3:3" x14ac:dyDescent="0.2">
      <c r="C72" s="35"/>
    </row>
    <row r="73" spans="3:3" x14ac:dyDescent="0.2">
      <c r="C73" s="35"/>
    </row>
    <row r="74" spans="3:3" x14ac:dyDescent="0.2">
      <c r="C74" s="35"/>
    </row>
    <row r="75" spans="3:3" x14ac:dyDescent="0.2">
      <c r="C75" s="35"/>
    </row>
    <row r="76" spans="3:3" x14ac:dyDescent="0.2">
      <c r="C76" s="35"/>
    </row>
    <row r="77" spans="3:3" x14ac:dyDescent="0.2">
      <c r="C77" s="35"/>
    </row>
    <row r="78" spans="3:3" x14ac:dyDescent="0.2">
      <c r="C78" s="35"/>
    </row>
    <row r="79" spans="3:3" x14ac:dyDescent="0.2">
      <c r="C79" s="35"/>
    </row>
    <row r="80" spans="3:3" x14ac:dyDescent="0.2">
      <c r="C80" s="35"/>
    </row>
    <row r="81" spans="3:3" x14ac:dyDescent="0.2">
      <c r="C81" s="35"/>
    </row>
    <row r="82" spans="3:3" x14ac:dyDescent="0.2">
      <c r="C82" s="35"/>
    </row>
    <row r="83" spans="3:3" x14ac:dyDescent="0.2">
      <c r="C83" s="35"/>
    </row>
    <row r="84" spans="3:3" x14ac:dyDescent="0.2">
      <c r="C84" s="35"/>
    </row>
    <row r="85" spans="3:3" x14ac:dyDescent="0.2">
      <c r="C85" s="35"/>
    </row>
    <row r="86" spans="3:3" x14ac:dyDescent="0.2">
      <c r="C86" s="35"/>
    </row>
    <row r="87" spans="3:3" x14ac:dyDescent="0.2">
      <c r="C87" s="35"/>
    </row>
    <row r="88" spans="3:3" x14ac:dyDescent="0.2">
      <c r="C88" s="35"/>
    </row>
    <row r="89" spans="3:3" x14ac:dyDescent="0.2">
      <c r="C89" s="35"/>
    </row>
    <row r="90" spans="3:3" x14ac:dyDescent="0.2">
      <c r="C90" s="35"/>
    </row>
    <row r="91" spans="3:3" x14ac:dyDescent="0.2">
      <c r="C91" s="35"/>
    </row>
    <row r="92" spans="3:3" x14ac:dyDescent="0.2">
      <c r="C92" s="35"/>
    </row>
    <row r="93" spans="3:3" x14ac:dyDescent="0.2">
      <c r="C93" s="35"/>
    </row>
    <row r="94" spans="3:3" x14ac:dyDescent="0.2">
      <c r="C94" s="35"/>
    </row>
    <row r="95" spans="3:3" x14ac:dyDescent="0.2">
      <c r="C95" s="35"/>
    </row>
    <row r="96" spans="3:3" x14ac:dyDescent="0.2">
      <c r="C96" s="35"/>
    </row>
    <row r="97" spans="3:3" x14ac:dyDescent="0.2">
      <c r="C97" s="35"/>
    </row>
    <row r="98" spans="3:3" x14ac:dyDescent="0.2">
      <c r="C98" s="35"/>
    </row>
    <row r="99" spans="3:3" x14ac:dyDescent="0.2">
      <c r="C99" s="35"/>
    </row>
    <row r="100" spans="3:3" x14ac:dyDescent="0.2">
      <c r="C100" s="35"/>
    </row>
    <row r="101" spans="3:3" x14ac:dyDescent="0.2">
      <c r="C101" s="35"/>
    </row>
    <row r="102" spans="3:3" x14ac:dyDescent="0.2">
      <c r="C102" s="35"/>
    </row>
    <row r="103" spans="3:3" x14ac:dyDescent="0.2">
      <c r="C103" s="35"/>
    </row>
    <row r="104" spans="3:3" x14ac:dyDescent="0.2">
      <c r="C104" s="35"/>
    </row>
    <row r="105" spans="3:3" x14ac:dyDescent="0.2">
      <c r="C105" s="35"/>
    </row>
    <row r="106" spans="3:3" x14ac:dyDescent="0.2">
      <c r="C106" s="35"/>
    </row>
    <row r="107" spans="3:3" x14ac:dyDescent="0.2">
      <c r="C107" s="35"/>
    </row>
    <row r="108" spans="3:3" x14ac:dyDescent="0.2">
      <c r="C108" s="35"/>
    </row>
    <row r="109" spans="3:3" x14ac:dyDescent="0.2">
      <c r="C109" s="35"/>
    </row>
    <row r="110" spans="3:3" x14ac:dyDescent="0.2">
      <c r="C110" s="35"/>
    </row>
    <row r="111" spans="3:3" x14ac:dyDescent="0.2">
      <c r="C111" s="35"/>
    </row>
    <row r="112" spans="3:3" x14ac:dyDescent="0.2">
      <c r="C112" s="35"/>
    </row>
    <row r="113" spans="3:3" x14ac:dyDescent="0.2">
      <c r="C113" s="35"/>
    </row>
    <row r="114" spans="3:3" x14ac:dyDescent="0.2">
      <c r="C114" s="35"/>
    </row>
    <row r="115" spans="3:3" x14ac:dyDescent="0.2">
      <c r="C115" s="35"/>
    </row>
    <row r="116" spans="3:3" x14ac:dyDescent="0.2">
      <c r="C116" s="35"/>
    </row>
    <row r="117" spans="3:3" x14ac:dyDescent="0.2">
      <c r="C117" s="35"/>
    </row>
    <row r="118" spans="3:3" x14ac:dyDescent="0.2">
      <c r="C118" s="35"/>
    </row>
    <row r="119" spans="3:3" x14ac:dyDescent="0.2">
      <c r="C119" s="35"/>
    </row>
    <row r="120" spans="3:3" x14ac:dyDescent="0.2">
      <c r="C120" s="35"/>
    </row>
    <row r="121" spans="3:3" x14ac:dyDescent="0.2">
      <c r="C121" s="35"/>
    </row>
    <row r="122" spans="3:3" x14ac:dyDescent="0.2">
      <c r="C122" s="35"/>
    </row>
    <row r="123" spans="3:3" x14ac:dyDescent="0.2">
      <c r="C123" s="35"/>
    </row>
    <row r="124" spans="3:3" x14ac:dyDescent="0.2">
      <c r="C124" s="35"/>
    </row>
    <row r="125" spans="3:3" x14ac:dyDescent="0.2">
      <c r="C125" s="35"/>
    </row>
    <row r="126" spans="3:3" x14ac:dyDescent="0.2">
      <c r="C126" s="35"/>
    </row>
    <row r="127" spans="3:3" x14ac:dyDescent="0.2">
      <c r="C127" s="35"/>
    </row>
    <row r="128" spans="3:3" x14ac:dyDescent="0.2">
      <c r="C128" s="35"/>
    </row>
    <row r="129" spans="3:3" x14ac:dyDescent="0.2">
      <c r="C129" s="35"/>
    </row>
    <row r="130" spans="3:3" x14ac:dyDescent="0.2">
      <c r="C130" s="35"/>
    </row>
    <row r="131" spans="3:3" x14ac:dyDescent="0.2">
      <c r="C131" s="35"/>
    </row>
    <row r="132" spans="3:3" x14ac:dyDescent="0.2">
      <c r="C132" s="35"/>
    </row>
    <row r="133" spans="3:3" x14ac:dyDescent="0.2">
      <c r="C133" s="35"/>
    </row>
    <row r="134" spans="3:3" x14ac:dyDescent="0.2">
      <c r="C134" s="35"/>
    </row>
    <row r="135" spans="3:3" x14ac:dyDescent="0.2">
      <c r="C135" s="35"/>
    </row>
    <row r="136" spans="3:3" x14ac:dyDescent="0.2">
      <c r="C136" s="35"/>
    </row>
    <row r="137" spans="3:3" x14ac:dyDescent="0.2">
      <c r="C137" s="35"/>
    </row>
    <row r="138" spans="3:3" x14ac:dyDescent="0.2">
      <c r="C138" s="35"/>
    </row>
    <row r="139" spans="3:3" x14ac:dyDescent="0.2">
      <c r="C139" s="35"/>
    </row>
    <row r="140" spans="3:3" x14ac:dyDescent="0.2">
      <c r="C140" s="35"/>
    </row>
    <row r="141" spans="3:3" x14ac:dyDescent="0.2">
      <c r="C141" s="35"/>
    </row>
    <row r="142" spans="3:3" x14ac:dyDescent="0.2">
      <c r="C142" s="35"/>
    </row>
    <row r="143" spans="3:3" x14ac:dyDescent="0.2">
      <c r="C143" s="35"/>
    </row>
    <row r="144" spans="3:3" x14ac:dyDescent="0.2">
      <c r="C144" s="35"/>
    </row>
    <row r="145" spans="3:3" x14ac:dyDescent="0.2">
      <c r="C145" s="35"/>
    </row>
    <row r="146" spans="3:3" x14ac:dyDescent="0.2">
      <c r="C146" s="35"/>
    </row>
    <row r="147" spans="3:3" x14ac:dyDescent="0.2">
      <c r="C147" s="35"/>
    </row>
    <row r="148" spans="3:3" x14ac:dyDescent="0.2">
      <c r="C148" s="35"/>
    </row>
    <row r="149" spans="3:3" x14ac:dyDescent="0.2">
      <c r="C149" s="35"/>
    </row>
    <row r="150" spans="3:3" x14ac:dyDescent="0.2">
      <c r="C150" s="35"/>
    </row>
    <row r="151" spans="3:3" x14ac:dyDescent="0.2">
      <c r="C151" s="35"/>
    </row>
    <row r="152" spans="3:3" x14ac:dyDescent="0.2">
      <c r="C152" s="35"/>
    </row>
    <row r="153" spans="3:3" x14ac:dyDescent="0.2">
      <c r="C153" s="35"/>
    </row>
    <row r="154" spans="3:3" x14ac:dyDescent="0.2">
      <c r="C154" s="35"/>
    </row>
    <row r="155" spans="3:3" x14ac:dyDescent="0.2">
      <c r="C155" s="35"/>
    </row>
    <row r="156" spans="3:3" x14ac:dyDescent="0.2">
      <c r="C156" s="35"/>
    </row>
    <row r="157" spans="3:3" x14ac:dyDescent="0.2">
      <c r="C157" s="35"/>
    </row>
    <row r="158" spans="3:3" x14ac:dyDescent="0.2">
      <c r="C158" s="35"/>
    </row>
    <row r="159" spans="3:3" x14ac:dyDescent="0.2">
      <c r="C159" s="35"/>
    </row>
    <row r="160" spans="3:3" x14ac:dyDescent="0.2">
      <c r="C160" s="35"/>
    </row>
    <row r="161" spans="3:3" x14ac:dyDescent="0.2">
      <c r="C161" s="35"/>
    </row>
    <row r="162" spans="3:3" x14ac:dyDescent="0.2">
      <c r="C162" s="35"/>
    </row>
    <row r="163" spans="3:3" x14ac:dyDescent="0.2">
      <c r="C163" s="35"/>
    </row>
    <row r="164" spans="3:3" x14ac:dyDescent="0.2">
      <c r="C164" s="35"/>
    </row>
    <row r="165" spans="3:3" x14ac:dyDescent="0.2">
      <c r="C165" s="35"/>
    </row>
    <row r="166" spans="3:3" x14ac:dyDescent="0.2">
      <c r="C166" s="35"/>
    </row>
    <row r="167" spans="3:3" x14ac:dyDescent="0.2">
      <c r="C167" s="35"/>
    </row>
    <row r="168" spans="3:3" x14ac:dyDescent="0.2">
      <c r="C168" s="35"/>
    </row>
    <row r="169" spans="3:3" x14ac:dyDescent="0.2">
      <c r="C169" s="35"/>
    </row>
    <row r="170" spans="3:3" x14ac:dyDescent="0.2">
      <c r="C170" s="35"/>
    </row>
    <row r="171" spans="3:3" x14ac:dyDescent="0.2">
      <c r="C171" s="35"/>
    </row>
    <row r="172" spans="3:3" x14ac:dyDescent="0.2">
      <c r="C172" s="35"/>
    </row>
    <row r="173" spans="3:3" x14ac:dyDescent="0.2">
      <c r="C173" s="35"/>
    </row>
    <row r="174" spans="3:3" x14ac:dyDescent="0.2">
      <c r="C174" s="35"/>
    </row>
    <row r="175" spans="3:3" x14ac:dyDescent="0.2">
      <c r="C175" s="35"/>
    </row>
    <row r="176" spans="3:3" x14ac:dyDescent="0.2">
      <c r="C176" s="35"/>
    </row>
    <row r="177" spans="3:3" x14ac:dyDescent="0.2">
      <c r="C177" s="35"/>
    </row>
    <row r="178" spans="3:3" x14ac:dyDescent="0.2">
      <c r="C178" s="35"/>
    </row>
    <row r="179" spans="3:3" x14ac:dyDescent="0.2">
      <c r="C179" s="35"/>
    </row>
    <row r="180" spans="3:3" x14ac:dyDescent="0.2">
      <c r="C180" s="35"/>
    </row>
    <row r="181" spans="3:3" x14ac:dyDescent="0.2">
      <c r="C181" s="35"/>
    </row>
    <row r="182" spans="3:3" x14ac:dyDescent="0.2">
      <c r="C182" s="35"/>
    </row>
    <row r="183" spans="3:3" x14ac:dyDescent="0.2">
      <c r="C183" s="35"/>
    </row>
    <row r="184" spans="3:3" x14ac:dyDescent="0.2">
      <c r="C184" s="35"/>
    </row>
    <row r="185" spans="3:3" x14ac:dyDescent="0.2">
      <c r="C185" s="35"/>
    </row>
    <row r="186" spans="3:3" x14ac:dyDescent="0.2">
      <c r="C186" s="35"/>
    </row>
    <row r="187" spans="3:3" x14ac:dyDescent="0.2">
      <c r="C187" s="35"/>
    </row>
    <row r="188" spans="3:3" x14ac:dyDescent="0.2">
      <c r="C188" s="35"/>
    </row>
    <row r="189" spans="3:3" x14ac:dyDescent="0.2">
      <c r="C189" s="35"/>
    </row>
    <row r="190" spans="3:3" x14ac:dyDescent="0.2">
      <c r="C190" s="35"/>
    </row>
    <row r="191" spans="3:3" x14ac:dyDescent="0.2">
      <c r="C191" s="35"/>
    </row>
    <row r="192" spans="3:3" x14ac:dyDescent="0.2">
      <c r="C192" s="35"/>
    </row>
    <row r="193" spans="3:3" x14ac:dyDescent="0.2">
      <c r="C193" s="35"/>
    </row>
    <row r="194" spans="3:3" x14ac:dyDescent="0.2">
      <c r="C194" s="35"/>
    </row>
    <row r="195" spans="3:3" x14ac:dyDescent="0.2">
      <c r="C195" s="35"/>
    </row>
    <row r="196" spans="3:3" x14ac:dyDescent="0.2">
      <c r="C196" s="35"/>
    </row>
    <row r="197" spans="3:3" x14ac:dyDescent="0.2">
      <c r="C197" s="35"/>
    </row>
    <row r="198" spans="3:3" x14ac:dyDescent="0.2">
      <c r="C198" s="35"/>
    </row>
    <row r="199" spans="3:3" x14ac:dyDescent="0.2">
      <c r="C199" s="35"/>
    </row>
    <row r="200" spans="3:3" x14ac:dyDescent="0.2">
      <c r="C200" s="35"/>
    </row>
    <row r="201" spans="3:3" x14ac:dyDescent="0.2">
      <c r="C201" s="35"/>
    </row>
    <row r="202" spans="3:3" x14ac:dyDescent="0.2">
      <c r="C202" s="35"/>
    </row>
    <row r="203" spans="3:3" x14ac:dyDescent="0.2">
      <c r="C203" s="35"/>
    </row>
    <row r="204" spans="3:3" x14ac:dyDescent="0.2">
      <c r="C204" s="35"/>
    </row>
    <row r="205" spans="3:3" x14ac:dyDescent="0.2">
      <c r="C205" s="35"/>
    </row>
    <row r="206" spans="3:3" x14ac:dyDescent="0.2">
      <c r="C206" s="35"/>
    </row>
    <row r="207" spans="3:3" x14ac:dyDescent="0.2">
      <c r="C207" s="35"/>
    </row>
    <row r="208" spans="3:3" x14ac:dyDescent="0.2">
      <c r="C208" s="35"/>
    </row>
    <row r="209" spans="3:3" x14ac:dyDescent="0.2">
      <c r="C209" s="35"/>
    </row>
    <row r="210" spans="3:3" x14ac:dyDescent="0.2">
      <c r="C210" s="35"/>
    </row>
    <row r="211" spans="3:3" x14ac:dyDescent="0.2">
      <c r="C211" s="35"/>
    </row>
    <row r="212" spans="3:3" x14ac:dyDescent="0.2">
      <c r="C212" s="35"/>
    </row>
    <row r="213" spans="3:3" x14ac:dyDescent="0.2">
      <c r="C213" s="35"/>
    </row>
    <row r="214" spans="3:3" x14ac:dyDescent="0.2">
      <c r="C214" s="35"/>
    </row>
    <row r="215" spans="3:3" x14ac:dyDescent="0.2">
      <c r="C215" s="35"/>
    </row>
    <row r="216" spans="3:3" x14ac:dyDescent="0.2">
      <c r="C216" s="35"/>
    </row>
    <row r="217" spans="3:3" x14ac:dyDescent="0.2">
      <c r="C217" s="35"/>
    </row>
    <row r="218" spans="3:3" x14ac:dyDescent="0.2">
      <c r="C218" s="35"/>
    </row>
    <row r="219" spans="3:3" x14ac:dyDescent="0.2">
      <c r="C219" s="35"/>
    </row>
    <row r="220" spans="3:3" x14ac:dyDescent="0.2">
      <c r="C220" s="35"/>
    </row>
    <row r="221" spans="3:3" x14ac:dyDescent="0.2">
      <c r="C221" s="35"/>
    </row>
    <row r="222" spans="3:3" x14ac:dyDescent="0.2">
      <c r="C222" s="35"/>
    </row>
    <row r="223" spans="3:3" x14ac:dyDescent="0.2">
      <c r="C223" s="35"/>
    </row>
    <row r="224" spans="3:3" x14ac:dyDescent="0.2">
      <c r="C224" s="35"/>
    </row>
    <row r="225" spans="3:3" x14ac:dyDescent="0.2">
      <c r="C225" s="35"/>
    </row>
    <row r="226" spans="3:3" x14ac:dyDescent="0.2">
      <c r="C226" s="35"/>
    </row>
    <row r="227" spans="3:3" x14ac:dyDescent="0.2">
      <c r="C227" s="35"/>
    </row>
    <row r="228" spans="3:3" x14ac:dyDescent="0.2">
      <c r="C228" s="35"/>
    </row>
    <row r="229" spans="3:3" x14ac:dyDescent="0.2">
      <c r="C229" s="35"/>
    </row>
    <row r="230" spans="3:3" x14ac:dyDescent="0.2">
      <c r="C230" s="35"/>
    </row>
    <row r="231" spans="3:3" x14ac:dyDescent="0.2">
      <c r="C231" s="35"/>
    </row>
    <row r="232" spans="3:3" x14ac:dyDescent="0.2">
      <c r="C232" s="35"/>
    </row>
    <row r="233" spans="3:3" x14ac:dyDescent="0.2">
      <c r="C233" s="35"/>
    </row>
    <row r="234" spans="3:3" x14ac:dyDescent="0.2">
      <c r="C234" s="35"/>
    </row>
    <row r="235" spans="3:3" x14ac:dyDescent="0.2">
      <c r="C235" s="35"/>
    </row>
    <row r="236" spans="3:3" x14ac:dyDescent="0.2">
      <c r="C236" s="35"/>
    </row>
    <row r="237" spans="3:3" x14ac:dyDescent="0.2">
      <c r="C237" s="35"/>
    </row>
    <row r="238" spans="3:3" x14ac:dyDescent="0.2">
      <c r="C238" s="35"/>
    </row>
    <row r="239" spans="3:3" x14ac:dyDescent="0.2">
      <c r="C239" s="35"/>
    </row>
    <row r="240" spans="3:3" x14ac:dyDescent="0.2">
      <c r="C240" s="35"/>
    </row>
    <row r="241" spans="3:3" x14ac:dyDescent="0.2">
      <c r="C241" s="35"/>
    </row>
    <row r="242" spans="3:3" x14ac:dyDescent="0.2">
      <c r="C242" s="35"/>
    </row>
    <row r="243" spans="3:3" x14ac:dyDescent="0.2">
      <c r="C243" s="35"/>
    </row>
    <row r="244" spans="3:3" x14ac:dyDescent="0.2">
      <c r="C244" s="35"/>
    </row>
    <row r="245" spans="3:3" x14ac:dyDescent="0.2">
      <c r="C245" s="35"/>
    </row>
    <row r="246" spans="3:3" x14ac:dyDescent="0.2">
      <c r="C246" s="35"/>
    </row>
    <row r="247" spans="3:3" x14ac:dyDescent="0.2">
      <c r="C247" s="35"/>
    </row>
    <row r="248" spans="3:3" x14ac:dyDescent="0.2">
      <c r="C248" s="35"/>
    </row>
    <row r="249" spans="3:3" x14ac:dyDescent="0.2">
      <c r="C249" s="35"/>
    </row>
    <row r="250" spans="3:3" x14ac:dyDescent="0.2">
      <c r="C250" s="35"/>
    </row>
    <row r="251" spans="3:3" x14ac:dyDescent="0.2">
      <c r="C251" s="35"/>
    </row>
    <row r="252" spans="3:3" x14ac:dyDescent="0.2">
      <c r="C252" s="35"/>
    </row>
    <row r="253" spans="3:3" x14ac:dyDescent="0.2">
      <c r="C253" s="35"/>
    </row>
    <row r="254" spans="3:3" x14ac:dyDescent="0.2">
      <c r="C254" s="35"/>
    </row>
    <row r="255" spans="3:3" x14ac:dyDescent="0.2">
      <c r="C255" s="35"/>
    </row>
    <row r="256" spans="3:3" x14ac:dyDescent="0.2">
      <c r="C256" s="35"/>
    </row>
    <row r="257" spans="3:3" x14ac:dyDescent="0.2">
      <c r="C257" s="35"/>
    </row>
    <row r="258" spans="3:3" x14ac:dyDescent="0.2">
      <c r="C258" s="35"/>
    </row>
    <row r="259" spans="3:3" x14ac:dyDescent="0.2">
      <c r="C259" s="35"/>
    </row>
    <row r="260" spans="3:3" x14ac:dyDescent="0.2">
      <c r="C260" s="35"/>
    </row>
    <row r="261" spans="3:3" x14ac:dyDescent="0.2">
      <c r="C261" s="35"/>
    </row>
    <row r="262" spans="3:3" x14ac:dyDescent="0.2">
      <c r="C262" s="35"/>
    </row>
    <row r="263" spans="3:3" x14ac:dyDescent="0.2">
      <c r="C263" s="35"/>
    </row>
    <row r="264" spans="3:3" x14ac:dyDescent="0.2">
      <c r="C264" s="35"/>
    </row>
    <row r="265" spans="3:3" x14ac:dyDescent="0.2">
      <c r="C265" s="35"/>
    </row>
    <row r="266" spans="3:3" x14ac:dyDescent="0.2">
      <c r="C266" s="35"/>
    </row>
    <row r="267" spans="3:3" x14ac:dyDescent="0.2">
      <c r="C267" s="35"/>
    </row>
    <row r="268" spans="3:3" x14ac:dyDescent="0.2">
      <c r="C268" s="35"/>
    </row>
    <row r="269" spans="3:3" x14ac:dyDescent="0.2">
      <c r="C269" s="35"/>
    </row>
    <row r="270" spans="3:3" x14ac:dyDescent="0.2">
      <c r="C270" s="35"/>
    </row>
    <row r="271" spans="3:3" x14ac:dyDescent="0.2">
      <c r="C271" s="35"/>
    </row>
    <row r="272" spans="3:3" x14ac:dyDescent="0.2">
      <c r="C272" s="35"/>
    </row>
    <row r="273" spans="3:3" x14ac:dyDescent="0.2">
      <c r="C273" s="35"/>
    </row>
    <row r="274" spans="3:3" x14ac:dyDescent="0.2">
      <c r="C274" s="35"/>
    </row>
    <row r="275" spans="3:3" x14ac:dyDescent="0.2">
      <c r="C275" s="35"/>
    </row>
    <row r="276" spans="3:3" x14ac:dyDescent="0.2">
      <c r="C276" s="35"/>
    </row>
    <row r="277" spans="3:3" x14ac:dyDescent="0.2">
      <c r="C277" s="35"/>
    </row>
    <row r="278" spans="3:3" x14ac:dyDescent="0.2">
      <c r="C278" s="35"/>
    </row>
    <row r="279" spans="3:3" x14ac:dyDescent="0.2">
      <c r="C279" s="35"/>
    </row>
    <row r="280" spans="3:3" x14ac:dyDescent="0.2">
      <c r="C280" s="35"/>
    </row>
    <row r="281" spans="3:3" x14ac:dyDescent="0.2">
      <c r="C281" s="35"/>
    </row>
    <row r="282" spans="3:3" x14ac:dyDescent="0.2">
      <c r="C282" s="35"/>
    </row>
    <row r="283" spans="3:3" x14ac:dyDescent="0.2">
      <c r="C283" s="35"/>
    </row>
    <row r="284" spans="3:3" x14ac:dyDescent="0.2">
      <c r="C284" s="35"/>
    </row>
    <row r="285" spans="3:3" x14ac:dyDescent="0.2">
      <c r="C285" s="35"/>
    </row>
    <row r="286" spans="3:3" x14ac:dyDescent="0.2">
      <c r="C286" s="35"/>
    </row>
    <row r="287" spans="3:3" x14ac:dyDescent="0.2">
      <c r="C287" s="35"/>
    </row>
    <row r="288" spans="3:3" x14ac:dyDescent="0.2">
      <c r="C288" s="35"/>
    </row>
    <row r="289" spans="3:3" x14ac:dyDescent="0.2">
      <c r="C289" s="35"/>
    </row>
    <row r="290" spans="3:3" x14ac:dyDescent="0.2">
      <c r="C290" s="35"/>
    </row>
    <row r="291" spans="3:3" x14ac:dyDescent="0.2">
      <c r="C291" s="35"/>
    </row>
    <row r="292" spans="3:3" x14ac:dyDescent="0.2">
      <c r="C292" s="35"/>
    </row>
    <row r="293" spans="3:3" x14ac:dyDescent="0.2">
      <c r="C293" s="35"/>
    </row>
    <row r="294" spans="3:3" x14ac:dyDescent="0.2">
      <c r="C294" s="35"/>
    </row>
    <row r="295" spans="3:3" x14ac:dyDescent="0.2">
      <c r="C295" s="35"/>
    </row>
    <row r="296" spans="3:3" x14ac:dyDescent="0.2">
      <c r="C296" s="35"/>
    </row>
    <row r="297" spans="3:3" x14ac:dyDescent="0.2">
      <c r="C297" s="35"/>
    </row>
    <row r="298" spans="3:3" x14ac:dyDescent="0.2">
      <c r="C298" s="35"/>
    </row>
    <row r="299" spans="3:3" x14ac:dyDescent="0.2">
      <c r="C299" s="35"/>
    </row>
    <row r="300" spans="3:3" x14ac:dyDescent="0.2">
      <c r="C300" s="35"/>
    </row>
    <row r="301" spans="3:3" x14ac:dyDescent="0.2">
      <c r="C301" s="35"/>
    </row>
    <row r="302" spans="3:3" x14ac:dyDescent="0.2">
      <c r="C302" s="35"/>
    </row>
    <row r="303" spans="3:3" x14ac:dyDescent="0.2">
      <c r="C303" s="35"/>
    </row>
    <row r="304" spans="3:3" x14ac:dyDescent="0.2">
      <c r="C304" s="35"/>
    </row>
    <row r="305" spans="3:3" x14ac:dyDescent="0.2">
      <c r="C305" s="35"/>
    </row>
    <row r="306" spans="3:3" x14ac:dyDescent="0.2">
      <c r="C306" s="35"/>
    </row>
    <row r="307" spans="3:3" x14ac:dyDescent="0.2">
      <c r="C307" s="35"/>
    </row>
    <row r="308" spans="3:3" x14ac:dyDescent="0.2">
      <c r="C308" s="35"/>
    </row>
    <row r="309" spans="3:3" x14ac:dyDescent="0.2">
      <c r="C309" s="35"/>
    </row>
    <row r="310" spans="3:3" x14ac:dyDescent="0.2">
      <c r="C310" s="35"/>
    </row>
    <row r="311" spans="3:3" x14ac:dyDescent="0.2">
      <c r="C311" s="35"/>
    </row>
    <row r="312" spans="3:3" x14ac:dyDescent="0.2">
      <c r="C312" s="35"/>
    </row>
    <row r="313" spans="3:3" x14ac:dyDescent="0.2">
      <c r="C313" s="35"/>
    </row>
    <row r="314" spans="3:3" x14ac:dyDescent="0.2">
      <c r="C314" s="35"/>
    </row>
    <row r="315" spans="3:3" x14ac:dyDescent="0.2">
      <c r="C315" s="35"/>
    </row>
    <row r="316" spans="3:3" x14ac:dyDescent="0.2">
      <c r="C316" s="35"/>
    </row>
  </sheetData>
  <dataValidations count="1">
    <dataValidation type="list" allowBlank="1" showInputMessage="1" showErrorMessage="1" errorTitle="Wrong Origin" error="The Origin should either be Predecessor, Assigned or Derived. Please choose one of these origins." sqref="K2:K7 K17:K18">
      <formula1>"Predecessor,Assigned,Derived"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C00000"/>
    <pageSetUpPr fitToPage="1"/>
  </sheetPr>
  <dimension ref="A1:S47"/>
  <sheetViews>
    <sheetView topLeftCell="P1" zoomScaleNormal="100" workbookViewId="0">
      <pane ySplit="1" topLeftCell="A33" activePane="bottomLeft" state="frozen"/>
      <selection pane="bottomLeft" activeCell="K47" sqref="A47:XFD47"/>
    </sheetView>
  </sheetViews>
  <sheetFormatPr defaultColWidth="9.140625" defaultRowHeight="12.75" x14ac:dyDescent="0.2"/>
  <cols>
    <col min="1" max="1" width="10.85546875" style="7" customWidth="1"/>
    <col min="2" max="2" width="20.140625" style="7" customWidth="1"/>
    <col min="3" max="3" width="10.28515625" style="34" customWidth="1"/>
    <col min="4" max="4" width="9.85546875" style="7" customWidth="1"/>
    <col min="5" max="5" width="14.5703125" style="7" bestFit="1" customWidth="1"/>
    <col min="6" max="6" width="32.28515625" style="45" hidden="1" customWidth="1"/>
    <col min="7" max="7" width="8.5703125" style="7" hidden="1" customWidth="1"/>
    <col min="8" max="8" width="8.42578125" style="7" hidden="1" customWidth="1"/>
    <col min="9" max="9" width="10.85546875" style="7" hidden="1" customWidth="1"/>
    <col min="10" max="10" width="11.140625" style="7" bestFit="1" customWidth="1"/>
    <col min="11" max="11" width="12.28515625" style="7" customWidth="1"/>
    <col min="12" max="12" width="41.7109375" style="45" customWidth="1"/>
    <col min="13" max="13" width="18.140625" style="7" customWidth="1"/>
    <col min="14" max="14" width="18.140625" style="16" customWidth="1"/>
    <col min="15" max="15" width="71.28515625" style="7" customWidth="1"/>
    <col min="16" max="16" width="19" style="7" customWidth="1"/>
    <col min="17" max="17" width="8.28515625" style="7" customWidth="1"/>
    <col min="18" max="18" width="8.85546875" style="7" customWidth="1"/>
    <col min="19" max="19" width="7.7109375" style="7" bestFit="1" customWidth="1"/>
    <col min="20" max="16384" width="9.140625" style="7"/>
  </cols>
  <sheetData>
    <row r="1" spans="1:19" s="45" customFormat="1" ht="38.25" x14ac:dyDescent="0.2">
      <c r="A1" s="20" t="str">
        <f>HYPERLINK("#Datasets!A" &amp; IF(ISERROR(MATCH("ADBDSmin",Datasets!A:A,0)),1,MATCH("ADBDSmin",Datasets!A:A,0)),"Dataset Name")</f>
        <v>Dataset Name</v>
      </c>
      <c r="B1" s="21" t="s">
        <v>53</v>
      </c>
      <c r="C1" s="22" t="s">
        <v>131</v>
      </c>
      <c r="D1" s="21" t="s">
        <v>109</v>
      </c>
      <c r="E1" s="21" t="s">
        <v>63</v>
      </c>
      <c r="F1" s="21" t="s">
        <v>64</v>
      </c>
      <c r="G1" s="21" t="s">
        <v>65</v>
      </c>
      <c r="H1" s="21" t="s">
        <v>66</v>
      </c>
      <c r="I1" s="21" t="s">
        <v>67</v>
      </c>
      <c r="J1" s="21" t="s">
        <v>38</v>
      </c>
      <c r="K1" s="14" t="s">
        <v>110</v>
      </c>
      <c r="L1" s="21" t="s">
        <v>39</v>
      </c>
      <c r="M1" s="21" t="s">
        <v>119</v>
      </c>
      <c r="N1" s="22" t="s">
        <v>120</v>
      </c>
      <c r="O1" s="23" t="s">
        <v>57</v>
      </c>
      <c r="P1" s="23" t="s">
        <v>118</v>
      </c>
      <c r="Q1" s="21" t="s">
        <v>40</v>
      </c>
      <c r="R1" s="23" t="s">
        <v>36</v>
      </c>
      <c r="S1" s="23" t="s">
        <v>5</v>
      </c>
    </row>
    <row r="2" spans="1:19" s="56" customFormat="1" ht="15" x14ac:dyDescent="0.25">
      <c r="A2" s="54" t="s">
        <v>142</v>
      </c>
      <c r="B2" s="55" t="s">
        <v>54</v>
      </c>
      <c r="C2" s="6" t="s">
        <v>231</v>
      </c>
      <c r="D2" s="55">
        <v>1</v>
      </c>
      <c r="E2" s="55" t="s">
        <v>74</v>
      </c>
      <c r="F2" s="55" t="s">
        <v>75</v>
      </c>
      <c r="G2" s="55" t="s">
        <v>94</v>
      </c>
      <c r="H2" s="55">
        <v>20</v>
      </c>
      <c r="I2" s="55" t="s">
        <v>143</v>
      </c>
      <c r="J2" s="54"/>
      <c r="K2" s="54" t="s">
        <v>125</v>
      </c>
      <c r="L2" s="55" t="s">
        <v>289</v>
      </c>
      <c r="M2" s="54"/>
      <c r="N2" s="54"/>
      <c r="O2" s="54"/>
      <c r="P2" s="54"/>
      <c r="Q2" s="54">
        <v>1</v>
      </c>
      <c r="R2" s="54"/>
      <c r="S2" s="54"/>
    </row>
    <row r="3" spans="1:19" s="56" customFormat="1" x14ac:dyDescent="0.2">
      <c r="A3" s="54" t="s">
        <v>142</v>
      </c>
      <c r="B3" s="55" t="s">
        <v>54</v>
      </c>
      <c r="C3" s="6" t="s">
        <v>231</v>
      </c>
      <c r="D3" s="55">
        <v>2</v>
      </c>
      <c r="E3" s="55" t="s">
        <v>72</v>
      </c>
      <c r="F3" s="55" t="s">
        <v>73</v>
      </c>
      <c r="G3" s="55" t="s">
        <v>94</v>
      </c>
      <c r="H3" s="55">
        <v>9</v>
      </c>
      <c r="I3" s="55" t="s">
        <v>144</v>
      </c>
      <c r="J3" s="54"/>
      <c r="K3" s="54" t="s">
        <v>125</v>
      </c>
      <c r="L3" s="55" t="s">
        <v>290</v>
      </c>
      <c r="M3" s="54"/>
      <c r="N3" s="54"/>
      <c r="O3" s="54"/>
      <c r="P3" s="54"/>
      <c r="Q3" s="54">
        <v>2</v>
      </c>
      <c r="R3" s="54"/>
      <c r="S3" s="54"/>
    </row>
    <row r="4" spans="1:19" s="56" customFormat="1" ht="14.1" customHeight="1" x14ac:dyDescent="0.25">
      <c r="A4" s="54" t="s">
        <v>142</v>
      </c>
      <c r="B4" s="55" t="s">
        <v>54</v>
      </c>
      <c r="C4" s="6" t="s">
        <v>231</v>
      </c>
      <c r="D4" s="55"/>
      <c r="E4" s="55" t="s">
        <v>76</v>
      </c>
      <c r="F4" s="55" t="s">
        <v>77</v>
      </c>
      <c r="G4" s="55" t="s">
        <v>94</v>
      </c>
      <c r="H4" s="55">
        <v>10</v>
      </c>
      <c r="I4" s="55" t="s">
        <v>145</v>
      </c>
      <c r="J4" s="54"/>
      <c r="K4" s="54" t="s">
        <v>125</v>
      </c>
      <c r="L4" s="55" t="s">
        <v>291</v>
      </c>
      <c r="M4" s="54"/>
      <c r="N4" s="54"/>
      <c r="O4" s="54"/>
      <c r="P4" s="54"/>
      <c r="Q4" s="54">
        <v>3</v>
      </c>
      <c r="R4" s="54"/>
      <c r="S4" s="54"/>
    </row>
    <row r="5" spans="1:19" s="56" customFormat="1" ht="14.45" customHeight="1" x14ac:dyDescent="0.25">
      <c r="A5" s="54" t="s">
        <v>142</v>
      </c>
      <c r="B5" s="55" t="s">
        <v>54</v>
      </c>
      <c r="C5" s="6" t="s">
        <v>231</v>
      </c>
      <c r="D5" s="55"/>
      <c r="E5" s="55" t="s">
        <v>3</v>
      </c>
      <c r="F5" s="55" t="s">
        <v>105</v>
      </c>
      <c r="G5" s="55" t="s">
        <v>94</v>
      </c>
      <c r="H5" s="55">
        <v>60</v>
      </c>
      <c r="I5" s="55" t="s">
        <v>146</v>
      </c>
      <c r="J5" s="54"/>
      <c r="K5" s="54" t="s">
        <v>136</v>
      </c>
      <c r="L5" s="55" t="s">
        <v>292</v>
      </c>
      <c r="M5" s="54"/>
      <c r="N5" s="54"/>
      <c r="O5" s="54"/>
      <c r="P5" s="54"/>
      <c r="Q5" s="54">
        <v>4</v>
      </c>
      <c r="R5" s="54"/>
      <c r="S5" s="54"/>
    </row>
    <row r="6" spans="1:19" s="56" customFormat="1" ht="17.45" customHeight="1" x14ac:dyDescent="0.25">
      <c r="A6" s="54" t="s">
        <v>142</v>
      </c>
      <c r="B6" s="55" t="s">
        <v>54</v>
      </c>
      <c r="C6" s="6" t="s">
        <v>231</v>
      </c>
      <c r="D6" s="55"/>
      <c r="E6" s="55" t="s">
        <v>4</v>
      </c>
      <c r="F6" s="55" t="s">
        <v>147</v>
      </c>
      <c r="G6" s="55" t="s">
        <v>95</v>
      </c>
      <c r="H6" s="55">
        <v>8</v>
      </c>
      <c r="I6" s="55" t="s">
        <v>148</v>
      </c>
      <c r="J6" s="54"/>
      <c r="K6" s="54" t="s">
        <v>136</v>
      </c>
      <c r="L6" s="55" t="s">
        <v>293</v>
      </c>
      <c r="M6" s="54"/>
      <c r="N6" s="54"/>
      <c r="O6" s="54"/>
      <c r="P6" s="54"/>
      <c r="Q6" s="54">
        <v>5</v>
      </c>
      <c r="R6" s="54"/>
      <c r="S6" s="54"/>
    </row>
    <row r="7" spans="1:19" s="56" customFormat="1" ht="15" customHeight="1" x14ac:dyDescent="0.25">
      <c r="A7" s="54" t="s">
        <v>142</v>
      </c>
      <c r="B7" s="55" t="s">
        <v>54</v>
      </c>
      <c r="C7" s="6" t="s">
        <v>231</v>
      </c>
      <c r="D7" s="55"/>
      <c r="E7" s="55" t="s">
        <v>2</v>
      </c>
      <c r="F7" s="55" t="s">
        <v>104</v>
      </c>
      <c r="G7" s="55" t="s">
        <v>94</v>
      </c>
      <c r="H7" s="55">
        <v>60</v>
      </c>
      <c r="I7" s="55" t="s">
        <v>146</v>
      </c>
      <c r="J7" s="54"/>
      <c r="K7" s="54" t="s">
        <v>136</v>
      </c>
      <c r="L7" s="55" t="s">
        <v>294</v>
      </c>
      <c r="M7" s="54"/>
      <c r="N7" s="54"/>
      <c r="O7" s="54"/>
      <c r="P7" s="54"/>
      <c r="Q7" s="54">
        <v>6</v>
      </c>
      <c r="R7" s="54"/>
      <c r="S7" s="54"/>
    </row>
    <row r="8" spans="1:19" s="56" customFormat="1" ht="19.5" customHeight="1" x14ac:dyDescent="0.25">
      <c r="A8" s="54" t="s">
        <v>142</v>
      </c>
      <c r="B8" s="55" t="s">
        <v>54</v>
      </c>
      <c r="C8" s="6" t="s">
        <v>231</v>
      </c>
      <c r="D8" s="55"/>
      <c r="E8" s="55" t="s">
        <v>1</v>
      </c>
      <c r="F8" s="55" t="s">
        <v>149</v>
      </c>
      <c r="G8" s="55" t="s">
        <v>95</v>
      </c>
      <c r="H8" s="55">
        <v>8</v>
      </c>
      <c r="I8" s="55" t="s">
        <v>148</v>
      </c>
      <c r="J8" s="54"/>
      <c r="K8" s="54" t="s">
        <v>136</v>
      </c>
      <c r="L8" s="55" t="s">
        <v>295</v>
      </c>
      <c r="M8" s="54"/>
      <c r="N8" s="54"/>
      <c r="O8" s="54"/>
      <c r="P8" s="54"/>
      <c r="Q8" s="54">
        <v>7</v>
      </c>
      <c r="R8" s="54"/>
      <c r="S8" s="54"/>
    </row>
    <row r="9" spans="1:19" s="56" customFormat="1" ht="17.45" customHeight="1" x14ac:dyDescent="0.2">
      <c r="A9" s="54" t="s">
        <v>142</v>
      </c>
      <c r="B9" s="55" t="s">
        <v>54</v>
      </c>
      <c r="C9" s="6" t="s">
        <v>231</v>
      </c>
      <c r="D9" s="55"/>
      <c r="E9" s="55" t="s">
        <v>34</v>
      </c>
      <c r="F9" s="55" t="s">
        <v>25</v>
      </c>
      <c r="G9" s="55" t="s">
        <v>94</v>
      </c>
      <c r="H9" s="55">
        <v>1</v>
      </c>
      <c r="I9" s="55" t="s">
        <v>150</v>
      </c>
      <c r="J9" s="54"/>
      <c r="K9" s="54" t="s">
        <v>125</v>
      </c>
      <c r="L9" s="55" t="s">
        <v>102</v>
      </c>
      <c r="M9" s="54"/>
      <c r="N9" s="54"/>
      <c r="O9" s="54"/>
      <c r="P9" s="54"/>
      <c r="Q9" s="54">
        <v>8</v>
      </c>
      <c r="R9" s="54"/>
      <c r="S9" s="54"/>
    </row>
    <row r="10" spans="1:19" s="56" customFormat="1" ht="18" customHeight="1" x14ac:dyDescent="0.25">
      <c r="A10" s="54" t="s">
        <v>142</v>
      </c>
      <c r="B10" s="55" t="s">
        <v>54</v>
      </c>
      <c r="C10" s="6" t="s">
        <v>231</v>
      </c>
      <c r="D10" s="55"/>
      <c r="E10" s="55" t="s">
        <v>151</v>
      </c>
      <c r="F10" s="55" t="s">
        <v>152</v>
      </c>
      <c r="G10" s="55" t="s">
        <v>94</v>
      </c>
      <c r="H10" s="55">
        <v>20</v>
      </c>
      <c r="I10" s="55" t="s">
        <v>143</v>
      </c>
      <c r="J10" s="54"/>
      <c r="K10" s="54" t="s">
        <v>136</v>
      </c>
      <c r="L10" s="55" t="s">
        <v>280</v>
      </c>
      <c r="M10" s="54"/>
      <c r="N10" s="54"/>
      <c r="O10" s="54"/>
      <c r="P10" s="54"/>
      <c r="Q10" s="54">
        <v>9</v>
      </c>
      <c r="R10" s="54"/>
      <c r="S10" s="54"/>
    </row>
    <row r="11" spans="1:19" s="56" customFormat="1" ht="46.5" customHeight="1" x14ac:dyDescent="0.25">
      <c r="A11" s="54" t="s">
        <v>142</v>
      </c>
      <c r="B11" s="55" t="s">
        <v>54</v>
      </c>
      <c r="C11" s="6" t="s">
        <v>231</v>
      </c>
      <c r="D11" s="55">
        <v>3</v>
      </c>
      <c r="E11" s="55" t="s">
        <v>99</v>
      </c>
      <c r="F11" s="55" t="s">
        <v>100</v>
      </c>
      <c r="G11" s="55" t="s">
        <v>95</v>
      </c>
      <c r="H11" s="55">
        <v>8</v>
      </c>
      <c r="I11" s="55" t="s">
        <v>153</v>
      </c>
      <c r="J11" s="54"/>
      <c r="K11" s="54" t="s">
        <v>126</v>
      </c>
      <c r="L11" s="55" t="s">
        <v>219</v>
      </c>
      <c r="M11" s="54"/>
      <c r="N11" s="54"/>
      <c r="O11" s="54"/>
      <c r="P11" s="54"/>
      <c r="Q11" s="54">
        <v>10</v>
      </c>
      <c r="R11" s="54"/>
      <c r="S11" s="54"/>
    </row>
    <row r="12" spans="1:19" s="56" customFormat="1" ht="27.95" customHeight="1" x14ac:dyDescent="0.2">
      <c r="A12" s="54" t="s">
        <v>142</v>
      </c>
      <c r="B12" s="55" t="s">
        <v>54</v>
      </c>
      <c r="C12" s="6" t="s">
        <v>231</v>
      </c>
      <c r="D12" s="55"/>
      <c r="E12" s="55" t="s">
        <v>23</v>
      </c>
      <c r="F12" s="55" t="s">
        <v>24</v>
      </c>
      <c r="G12" s="55" t="s">
        <v>94</v>
      </c>
      <c r="H12" s="55">
        <v>10</v>
      </c>
      <c r="I12" s="55" t="s">
        <v>156</v>
      </c>
      <c r="J12" s="92" t="str">
        <f>HYPERLINK("#CT!A" &amp; IF(ISERROR(MATCH("$PAC",CT!A:A,0)),1,MATCH("$PAC",CT!A:A,0)),"$PAC")</f>
        <v>$PAC</v>
      </c>
      <c r="K12" s="54" t="s">
        <v>136</v>
      </c>
      <c r="L12" s="57" t="s">
        <v>281</v>
      </c>
      <c r="M12" s="54"/>
      <c r="N12" s="54"/>
      <c r="O12" s="54"/>
      <c r="P12" s="54"/>
      <c r="Q12" s="54">
        <v>11</v>
      </c>
      <c r="R12" s="54"/>
      <c r="S12" s="54"/>
    </row>
    <row r="13" spans="1:19" s="56" customFormat="1" ht="26.25" x14ac:dyDescent="0.25">
      <c r="A13" s="54" t="s">
        <v>142</v>
      </c>
      <c r="B13" s="55" t="s">
        <v>54</v>
      </c>
      <c r="C13" s="6" t="s">
        <v>231</v>
      </c>
      <c r="D13" s="55"/>
      <c r="E13" s="55" t="s">
        <v>26</v>
      </c>
      <c r="F13" s="55" t="s">
        <v>27</v>
      </c>
      <c r="G13" s="55" t="s">
        <v>95</v>
      </c>
      <c r="H13" s="55">
        <v>8</v>
      </c>
      <c r="I13" s="55" t="s">
        <v>154</v>
      </c>
      <c r="J13" s="92" t="str">
        <f>HYPERLINK("#CT!A" &amp; IF(ISERROR(MATCH("PACD",CT!A:A,0)),1,MATCH("PACD",CT!A:A,0)),"PACD")</f>
        <v>PACD</v>
      </c>
      <c r="K13" s="54" t="s">
        <v>126</v>
      </c>
      <c r="L13" s="55" t="s">
        <v>155</v>
      </c>
      <c r="M13" s="54"/>
      <c r="N13" s="54"/>
      <c r="O13" s="54"/>
      <c r="P13" s="54"/>
      <c r="Q13" s="54">
        <v>12</v>
      </c>
      <c r="R13" s="54"/>
      <c r="S13" s="54"/>
    </row>
    <row r="14" spans="1:19" s="56" customFormat="1" ht="81" customHeight="1" x14ac:dyDescent="0.25">
      <c r="A14" s="54" t="s">
        <v>142</v>
      </c>
      <c r="B14" s="55" t="s">
        <v>54</v>
      </c>
      <c r="C14" s="6" t="s">
        <v>231</v>
      </c>
      <c r="D14" s="55"/>
      <c r="E14" s="55" t="s">
        <v>21</v>
      </c>
      <c r="F14" s="55" t="s">
        <v>22</v>
      </c>
      <c r="G14" s="55" t="s">
        <v>94</v>
      </c>
      <c r="H14" s="55">
        <v>60</v>
      </c>
      <c r="I14" s="55" t="s">
        <v>146</v>
      </c>
      <c r="K14" s="54" t="s">
        <v>126</v>
      </c>
      <c r="L14" s="55" t="s">
        <v>157</v>
      </c>
      <c r="M14" s="54"/>
      <c r="N14" s="54"/>
      <c r="O14" s="54"/>
      <c r="P14" s="54"/>
      <c r="Q14" s="54">
        <v>13</v>
      </c>
      <c r="R14" s="54"/>
      <c r="S14" s="54"/>
    </row>
    <row r="15" spans="1:19" s="56" customFormat="1" ht="30.6" customHeight="1" x14ac:dyDescent="0.25">
      <c r="A15" s="54" t="s">
        <v>142</v>
      </c>
      <c r="B15" s="55" t="s">
        <v>54</v>
      </c>
      <c r="C15" s="6" t="s">
        <v>231</v>
      </c>
      <c r="D15" s="55"/>
      <c r="E15" s="55" t="s">
        <v>41</v>
      </c>
      <c r="F15" s="55" t="s">
        <v>42</v>
      </c>
      <c r="G15" s="55" t="s">
        <v>94</v>
      </c>
      <c r="H15" s="55">
        <v>1</v>
      </c>
      <c r="I15" s="55" t="s">
        <v>158</v>
      </c>
      <c r="K15" s="54" t="s">
        <v>136</v>
      </c>
      <c r="L15" s="55" t="s">
        <v>172</v>
      </c>
      <c r="M15" s="54"/>
      <c r="N15" s="54"/>
      <c r="O15" s="54"/>
      <c r="P15" s="54"/>
      <c r="Q15" s="54">
        <v>14</v>
      </c>
      <c r="R15" s="54"/>
      <c r="S15" s="54"/>
    </row>
    <row r="16" spans="1:19" s="56" customFormat="1" ht="25.5" x14ac:dyDescent="0.2">
      <c r="A16" s="54" t="s">
        <v>142</v>
      </c>
      <c r="B16" s="55" t="s">
        <v>54</v>
      </c>
      <c r="C16" s="6" t="s">
        <v>231</v>
      </c>
      <c r="D16" s="55"/>
      <c r="E16" s="55" t="s">
        <v>28</v>
      </c>
      <c r="F16" s="55" t="s">
        <v>29</v>
      </c>
      <c r="G16" s="55" t="s">
        <v>96</v>
      </c>
      <c r="H16" s="55">
        <v>8</v>
      </c>
      <c r="I16" s="55" t="s">
        <v>103</v>
      </c>
      <c r="J16" s="54"/>
      <c r="K16" s="54" t="s">
        <v>136</v>
      </c>
      <c r="L16" s="55" t="s">
        <v>282</v>
      </c>
      <c r="M16" s="54"/>
      <c r="N16" s="54"/>
      <c r="O16" s="54"/>
      <c r="P16" s="54"/>
      <c r="Q16" s="54">
        <v>15</v>
      </c>
      <c r="R16" s="54"/>
      <c r="S16" s="54"/>
    </row>
    <row r="17" spans="1:19" s="56" customFormat="1" ht="13.5" customHeight="1" x14ac:dyDescent="0.2">
      <c r="A17" s="54" t="s">
        <v>142</v>
      </c>
      <c r="B17" s="55" t="s">
        <v>54</v>
      </c>
      <c r="C17" s="6" t="s">
        <v>231</v>
      </c>
      <c r="D17" s="55"/>
      <c r="E17" s="55" t="s">
        <v>30</v>
      </c>
      <c r="F17" s="55" t="s">
        <v>31</v>
      </c>
      <c r="G17" s="55" t="s">
        <v>96</v>
      </c>
      <c r="H17" s="55">
        <v>8</v>
      </c>
      <c r="I17" s="55" t="s">
        <v>103</v>
      </c>
      <c r="J17" s="54"/>
      <c r="K17" s="54" t="s">
        <v>136</v>
      </c>
      <c r="L17" s="55" t="s">
        <v>283</v>
      </c>
      <c r="M17" s="54"/>
      <c r="N17" s="54"/>
      <c r="O17" s="54"/>
      <c r="P17" s="54"/>
      <c r="Q17" s="54">
        <v>16</v>
      </c>
      <c r="R17" s="54"/>
      <c r="S17" s="54"/>
    </row>
    <row r="18" spans="1:19" s="56" customFormat="1" ht="27.75" customHeight="1" x14ac:dyDescent="0.2">
      <c r="A18" s="54" t="s">
        <v>142</v>
      </c>
      <c r="B18" s="55" t="s">
        <v>54</v>
      </c>
      <c r="C18" s="6" t="s">
        <v>231</v>
      </c>
      <c r="D18" s="55"/>
      <c r="E18" s="55" t="s">
        <v>32</v>
      </c>
      <c r="F18" s="55" t="s">
        <v>33</v>
      </c>
      <c r="G18" s="55" t="s">
        <v>96</v>
      </c>
      <c r="H18" s="55">
        <v>8</v>
      </c>
      <c r="I18" s="55" t="s">
        <v>103</v>
      </c>
      <c r="J18" s="54"/>
      <c r="K18" s="54" t="s">
        <v>136</v>
      </c>
      <c r="L18" s="55" t="s">
        <v>159</v>
      </c>
      <c r="M18" s="54"/>
      <c r="N18" s="54"/>
      <c r="O18" s="54"/>
      <c r="P18" s="54"/>
      <c r="Q18" s="54">
        <v>17</v>
      </c>
      <c r="R18" s="54"/>
      <c r="S18" s="54"/>
    </row>
    <row r="19" spans="1:19" s="56" customFormat="1" ht="48" customHeight="1" x14ac:dyDescent="0.2">
      <c r="A19" s="54" t="s">
        <v>142</v>
      </c>
      <c r="B19" s="94" t="s">
        <v>54</v>
      </c>
      <c r="C19" s="6" t="s">
        <v>231</v>
      </c>
      <c r="D19" s="55"/>
      <c r="E19" s="55" t="s">
        <v>220</v>
      </c>
      <c r="F19" s="55" t="s">
        <v>221</v>
      </c>
      <c r="G19" s="55" t="s">
        <v>96</v>
      </c>
      <c r="H19" s="55">
        <v>8</v>
      </c>
      <c r="I19" s="95" t="s">
        <v>103</v>
      </c>
      <c r="J19" s="54"/>
      <c r="K19" s="54" t="s">
        <v>136</v>
      </c>
      <c r="L19" s="55" t="s">
        <v>284</v>
      </c>
      <c r="M19" s="54"/>
      <c r="N19" s="54"/>
      <c r="O19" s="54"/>
      <c r="P19" s="54"/>
      <c r="Q19" s="54">
        <v>18</v>
      </c>
      <c r="R19" s="54"/>
      <c r="S19" s="54"/>
    </row>
    <row r="20" spans="1:19" s="56" customFormat="1" ht="32.25" customHeight="1" x14ac:dyDescent="0.2">
      <c r="A20" s="54" t="s">
        <v>142</v>
      </c>
      <c r="B20" s="94" t="s">
        <v>247</v>
      </c>
      <c r="C20" s="6" t="s">
        <v>231</v>
      </c>
      <c r="D20" s="55"/>
      <c r="E20" s="55" t="s">
        <v>220</v>
      </c>
      <c r="F20" s="55" t="s">
        <v>221</v>
      </c>
      <c r="G20" s="55" t="s">
        <v>96</v>
      </c>
      <c r="H20" s="55">
        <v>8</v>
      </c>
      <c r="I20" s="95" t="s">
        <v>103</v>
      </c>
      <c r="J20" s="54"/>
      <c r="K20" s="54" t="s">
        <v>136</v>
      </c>
      <c r="L20" s="55" t="s">
        <v>222</v>
      </c>
      <c r="M20" s="54"/>
      <c r="N20" s="54"/>
      <c r="O20" s="54"/>
      <c r="P20" s="54"/>
      <c r="Q20" s="54">
        <v>19</v>
      </c>
      <c r="R20" s="54"/>
      <c r="S20" s="54"/>
    </row>
    <row r="21" spans="1:19" s="56" customFormat="1" ht="30.95" customHeight="1" x14ac:dyDescent="0.2">
      <c r="A21" s="54" t="s">
        <v>142</v>
      </c>
      <c r="B21" s="94" t="s">
        <v>248</v>
      </c>
      <c r="C21" s="6" t="s">
        <v>231</v>
      </c>
      <c r="D21" s="55"/>
      <c r="E21" s="55" t="s">
        <v>220</v>
      </c>
      <c r="F21" s="55" t="s">
        <v>221</v>
      </c>
      <c r="G21" s="55" t="s">
        <v>96</v>
      </c>
      <c r="H21" s="55">
        <v>8</v>
      </c>
      <c r="I21" s="95" t="s">
        <v>103</v>
      </c>
      <c r="J21" s="54"/>
      <c r="K21" s="54" t="s">
        <v>136</v>
      </c>
      <c r="L21" s="55" t="s">
        <v>249</v>
      </c>
      <c r="M21" s="54"/>
      <c r="N21" s="54"/>
      <c r="O21" s="54"/>
      <c r="P21" s="54"/>
      <c r="Q21" s="54">
        <v>20</v>
      </c>
      <c r="R21" s="54"/>
      <c r="S21" s="54"/>
    </row>
    <row r="22" spans="1:19" s="56" customFormat="1" ht="25.5" customHeight="1" x14ac:dyDescent="0.2">
      <c r="A22" s="54" t="s">
        <v>142</v>
      </c>
      <c r="B22" s="94" t="s">
        <v>54</v>
      </c>
      <c r="C22" s="6" t="s">
        <v>231</v>
      </c>
      <c r="D22" s="55"/>
      <c r="E22" s="55" t="s">
        <v>160</v>
      </c>
      <c r="F22" s="55" t="s">
        <v>224</v>
      </c>
      <c r="G22" s="55" t="s">
        <v>94</v>
      </c>
      <c r="H22" s="55">
        <v>20</v>
      </c>
      <c r="I22" s="55" t="s">
        <v>203</v>
      </c>
      <c r="J22" s="54"/>
      <c r="K22" s="54" t="s">
        <v>136</v>
      </c>
      <c r="L22" s="55" t="s">
        <v>284</v>
      </c>
      <c r="M22" s="54"/>
      <c r="N22" s="54"/>
      <c r="O22" s="54"/>
      <c r="P22" s="54"/>
      <c r="Q22" s="54">
        <v>21</v>
      </c>
      <c r="R22" s="54"/>
      <c r="S22" s="54"/>
    </row>
    <row r="23" spans="1:19" s="56" customFormat="1" ht="25.5" customHeight="1" x14ac:dyDescent="0.2">
      <c r="A23" s="54" t="s">
        <v>142</v>
      </c>
      <c r="B23" s="94" t="s">
        <v>247</v>
      </c>
      <c r="C23" s="6" t="s">
        <v>231</v>
      </c>
      <c r="D23" s="55"/>
      <c r="E23" s="55" t="s">
        <v>160</v>
      </c>
      <c r="F23" s="55" t="s">
        <v>224</v>
      </c>
      <c r="G23" s="55" t="s">
        <v>94</v>
      </c>
      <c r="H23" s="55">
        <v>20</v>
      </c>
      <c r="I23" s="55" t="s">
        <v>203</v>
      </c>
      <c r="J23" s="54"/>
      <c r="K23" s="54" t="s">
        <v>136</v>
      </c>
      <c r="L23" s="55" t="s">
        <v>285</v>
      </c>
      <c r="M23" s="54"/>
      <c r="N23" s="54"/>
      <c r="O23" s="54"/>
      <c r="P23" s="54"/>
      <c r="Q23" s="54">
        <v>22</v>
      </c>
      <c r="R23" s="54"/>
      <c r="S23" s="54"/>
    </row>
    <row r="24" spans="1:19" s="56" customFormat="1" ht="33.6" customHeight="1" x14ac:dyDescent="0.2">
      <c r="A24" s="54" t="s">
        <v>142</v>
      </c>
      <c r="B24" s="94" t="s">
        <v>248</v>
      </c>
      <c r="C24" s="6" t="s">
        <v>231</v>
      </c>
      <c r="D24" s="55"/>
      <c r="E24" s="55" t="s">
        <v>160</v>
      </c>
      <c r="F24" s="55" t="s">
        <v>224</v>
      </c>
      <c r="G24" s="55" t="s">
        <v>94</v>
      </c>
      <c r="H24" s="55">
        <v>20</v>
      </c>
      <c r="I24" s="55" t="s">
        <v>203</v>
      </c>
      <c r="J24" s="54"/>
      <c r="K24" s="54" t="s">
        <v>136</v>
      </c>
      <c r="L24" s="55" t="s">
        <v>249</v>
      </c>
      <c r="M24" s="54"/>
      <c r="N24" s="54"/>
      <c r="O24" s="54"/>
      <c r="P24" s="54"/>
      <c r="Q24" s="54">
        <v>23</v>
      </c>
      <c r="R24" s="54"/>
      <c r="S24" s="54"/>
    </row>
    <row r="25" spans="1:19" s="56" customFormat="1" ht="49.5" customHeight="1" x14ac:dyDescent="0.2">
      <c r="A25" s="54" t="s">
        <v>142</v>
      </c>
      <c r="B25" s="94" t="s">
        <v>54</v>
      </c>
      <c r="C25" s="6" t="s">
        <v>231</v>
      </c>
      <c r="D25" s="55"/>
      <c r="E25" s="55" t="s">
        <v>161</v>
      </c>
      <c r="F25" s="55" t="s">
        <v>225</v>
      </c>
      <c r="G25" s="55" t="s">
        <v>95</v>
      </c>
      <c r="H25" s="55">
        <v>8</v>
      </c>
      <c r="I25" s="55" t="s">
        <v>250</v>
      </c>
      <c r="J25" s="54"/>
      <c r="K25" s="54" t="s">
        <v>126</v>
      </c>
      <c r="L25" s="55" t="s">
        <v>284</v>
      </c>
      <c r="M25" s="54"/>
      <c r="N25" s="54"/>
      <c r="O25" s="54"/>
      <c r="P25" s="54"/>
      <c r="Q25" s="54">
        <v>24</v>
      </c>
      <c r="R25" s="54"/>
      <c r="S25" s="54"/>
    </row>
    <row r="26" spans="1:19" s="56" customFormat="1" ht="49.5" customHeight="1" x14ac:dyDescent="0.2">
      <c r="A26" s="54" t="s">
        <v>142</v>
      </c>
      <c r="B26" s="94" t="s">
        <v>247</v>
      </c>
      <c r="C26" s="6" t="s">
        <v>231</v>
      </c>
      <c r="D26" s="55"/>
      <c r="E26" s="55" t="s">
        <v>161</v>
      </c>
      <c r="F26" s="55" t="s">
        <v>225</v>
      </c>
      <c r="G26" s="55" t="s">
        <v>95</v>
      </c>
      <c r="H26" s="55">
        <v>8</v>
      </c>
      <c r="I26" s="55" t="s">
        <v>250</v>
      </c>
      <c r="J26" s="54"/>
      <c r="K26" s="54" t="s">
        <v>126</v>
      </c>
      <c r="L26" s="55" t="s">
        <v>286</v>
      </c>
      <c r="M26" s="54"/>
      <c r="N26" s="54"/>
      <c r="O26" s="54"/>
      <c r="P26" s="54"/>
      <c r="Q26" s="54">
        <v>25</v>
      </c>
      <c r="R26" s="54"/>
      <c r="S26" s="54"/>
    </row>
    <row r="27" spans="1:19" s="56" customFormat="1" ht="25.5" customHeight="1" x14ac:dyDescent="0.2">
      <c r="A27" s="54" t="s">
        <v>142</v>
      </c>
      <c r="B27" s="94" t="s">
        <v>248</v>
      </c>
      <c r="C27" s="6" t="s">
        <v>231</v>
      </c>
      <c r="D27" s="55"/>
      <c r="E27" s="55" t="s">
        <v>161</v>
      </c>
      <c r="F27" s="55" t="s">
        <v>225</v>
      </c>
      <c r="G27" s="55" t="s">
        <v>95</v>
      </c>
      <c r="H27" s="55">
        <v>8</v>
      </c>
      <c r="I27" s="55" t="s">
        <v>250</v>
      </c>
      <c r="J27" s="54"/>
      <c r="K27" s="54" t="s">
        <v>126</v>
      </c>
      <c r="L27" s="55" t="s">
        <v>249</v>
      </c>
      <c r="M27" s="54"/>
      <c r="N27" s="54"/>
      <c r="O27" s="54"/>
      <c r="P27" s="54"/>
      <c r="Q27" s="54">
        <v>26</v>
      </c>
      <c r="R27" s="54"/>
      <c r="S27" s="54"/>
    </row>
    <row r="28" spans="1:19" x14ac:dyDescent="0.2">
      <c r="A28" s="7" t="s">
        <v>142</v>
      </c>
      <c r="B28" s="94" t="s">
        <v>54</v>
      </c>
      <c r="C28" s="6" t="s">
        <v>231</v>
      </c>
      <c r="E28" s="7" t="s">
        <v>162</v>
      </c>
      <c r="F28" s="45" t="s">
        <v>226</v>
      </c>
      <c r="G28" s="7" t="s">
        <v>94</v>
      </c>
      <c r="H28" s="7">
        <v>20</v>
      </c>
      <c r="I28" s="7" t="s">
        <v>203</v>
      </c>
      <c r="K28" s="7" t="s">
        <v>136</v>
      </c>
      <c r="L28" s="55" t="s">
        <v>284</v>
      </c>
      <c r="Q28" s="54">
        <v>27</v>
      </c>
    </row>
    <row r="29" spans="1:19" ht="25.5" x14ac:dyDescent="0.2">
      <c r="A29" s="7" t="s">
        <v>142</v>
      </c>
      <c r="B29" s="96" t="s">
        <v>247</v>
      </c>
      <c r="C29" s="6" t="s">
        <v>231</v>
      </c>
      <c r="E29" s="7" t="s">
        <v>162</v>
      </c>
      <c r="F29" s="45" t="s">
        <v>226</v>
      </c>
      <c r="G29" s="7" t="s">
        <v>94</v>
      </c>
      <c r="H29" s="7">
        <v>20</v>
      </c>
      <c r="I29" s="7" t="s">
        <v>203</v>
      </c>
      <c r="K29" s="7" t="s">
        <v>136</v>
      </c>
      <c r="L29" s="45" t="s">
        <v>287</v>
      </c>
      <c r="Q29" s="54">
        <v>28</v>
      </c>
    </row>
    <row r="30" spans="1:19" x14ac:dyDescent="0.2">
      <c r="A30" s="7" t="s">
        <v>142</v>
      </c>
      <c r="B30" s="96" t="s">
        <v>248</v>
      </c>
      <c r="C30" s="6" t="s">
        <v>231</v>
      </c>
      <c r="E30" s="7" t="s">
        <v>162</v>
      </c>
      <c r="F30" s="45" t="s">
        <v>226</v>
      </c>
      <c r="G30" s="7" t="s">
        <v>94</v>
      </c>
      <c r="H30" s="7">
        <v>20</v>
      </c>
      <c r="I30" s="7" t="s">
        <v>203</v>
      </c>
      <c r="K30" s="7" t="s">
        <v>136</v>
      </c>
      <c r="L30" s="45" t="s">
        <v>249</v>
      </c>
      <c r="Q30" s="54">
        <v>29</v>
      </c>
    </row>
    <row r="31" spans="1:19" ht="25.5" x14ac:dyDescent="0.2">
      <c r="A31" s="7" t="s">
        <v>142</v>
      </c>
      <c r="B31" s="94" t="s">
        <v>54</v>
      </c>
      <c r="C31" s="6" t="s">
        <v>231</v>
      </c>
      <c r="E31" s="7" t="s">
        <v>163</v>
      </c>
      <c r="F31" s="45" t="s">
        <v>227</v>
      </c>
      <c r="G31" s="7" t="s">
        <v>95</v>
      </c>
      <c r="H31" s="7">
        <v>8</v>
      </c>
      <c r="I31" s="7" t="s">
        <v>250</v>
      </c>
      <c r="K31" s="7" t="s">
        <v>126</v>
      </c>
      <c r="L31" s="55" t="s">
        <v>284</v>
      </c>
      <c r="Q31" s="54">
        <v>30</v>
      </c>
    </row>
    <row r="32" spans="1:19" ht="25.5" x14ac:dyDescent="0.2">
      <c r="A32" s="7" t="s">
        <v>142</v>
      </c>
      <c r="B32" s="96" t="s">
        <v>247</v>
      </c>
      <c r="C32" s="6" t="s">
        <v>231</v>
      </c>
      <c r="E32" s="7" t="s">
        <v>163</v>
      </c>
      <c r="F32" s="45" t="s">
        <v>227</v>
      </c>
      <c r="G32" s="7" t="s">
        <v>95</v>
      </c>
      <c r="H32" s="7">
        <v>8</v>
      </c>
      <c r="I32" s="7" t="s">
        <v>250</v>
      </c>
      <c r="K32" s="7" t="s">
        <v>126</v>
      </c>
      <c r="L32" s="45" t="s">
        <v>288</v>
      </c>
      <c r="Q32" s="54">
        <v>31</v>
      </c>
    </row>
    <row r="33" spans="1:19" ht="25.5" x14ac:dyDescent="0.2">
      <c r="A33" s="7" t="s">
        <v>142</v>
      </c>
      <c r="B33" s="96" t="s">
        <v>248</v>
      </c>
      <c r="C33" s="6" t="s">
        <v>231</v>
      </c>
      <c r="E33" s="7" t="s">
        <v>163</v>
      </c>
      <c r="F33" s="45" t="s">
        <v>227</v>
      </c>
      <c r="G33" s="7" t="s">
        <v>95</v>
      </c>
      <c r="H33" s="7">
        <v>8</v>
      </c>
      <c r="I33" s="7" t="s">
        <v>250</v>
      </c>
      <c r="K33" s="7" t="s">
        <v>126</v>
      </c>
      <c r="L33" s="45" t="s">
        <v>249</v>
      </c>
      <c r="Q33" s="54">
        <v>32</v>
      </c>
    </row>
    <row r="34" spans="1:19" s="56" customFormat="1" ht="15" customHeight="1" x14ac:dyDescent="0.25">
      <c r="A34" s="54" t="s">
        <v>142</v>
      </c>
      <c r="B34" s="94" t="s">
        <v>54</v>
      </c>
      <c r="C34" s="6" t="s">
        <v>231</v>
      </c>
      <c r="D34" s="55"/>
      <c r="E34" s="55" t="s">
        <v>164</v>
      </c>
      <c r="F34" s="55" t="s">
        <v>235</v>
      </c>
      <c r="G34" s="55" t="s">
        <v>94</v>
      </c>
      <c r="H34" s="55">
        <v>20</v>
      </c>
      <c r="I34" s="55" t="s">
        <v>143</v>
      </c>
      <c r="J34" s="54"/>
      <c r="K34" s="54" t="s">
        <v>136</v>
      </c>
      <c r="L34" s="55"/>
      <c r="M34" s="54"/>
      <c r="N34" s="54"/>
      <c r="O34" s="54"/>
      <c r="P34" s="54"/>
      <c r="Q34" s="54">
        <v>33</v>
      </c>
      <c r="R34" s="54"/>
      <c r="S34" s="54"/>
    </row>
    <row r="35" spans="1:19" s="56" customFormat="1" ht="24" customHeight="1" x14ac:dyDescent="0.25">
      <c r="A35" s="54" t="s">
        <v>142</v>
      </c>
      <c r="B35" s="55" t="s">
        <v>248</v>
      </c>
      <c r="C35" s="6" t="s">
        <v>231</v>
      </c>
      <c r="D35" s="55"/>
      <c r="E35" s="55" t="s">
        <v>164</v>
      </c>
      <c r="F35" s="55" t="s">
        <v>235</v>
      </c>
      <c r="G35" s="55" t="s">
        <v>94</v>
      </c>
      <c r="H35" s="55">
        <v>20</v>
      </c>
      <c r="I35" s="55" t="s">
        <v>143</v>
      </c>
      <c r="J35" s="54"/>
      <c r="K35" s="54" t="s">
        <v>136</v>
      </c>
      <c r="L35" s="55" t="s">
        <v>239</v>
      </c>
      <c r="M35" s="54"/>
      <c r="N35" s="54"/>
      <c r="O35" s="54"/>
      <c r="P35" s="54"/>
      <c r="Q35" s="54">
        <v>34</v>
      </c>
      <c r="R35" s="54"/>
      <c r="S35" s="54"/>
    </row>
    <row r="36" spans="1:19" s="56" customFormat="1" ht="21" customHeight="1" x14ac:dyDescent="0.25">
      <c r="A36" s="54" t="s">
        <v>142</v>
      </c>
      <c r="B36" s="55" t="s">
        <v>247</v>
      </c>
      <c r="C36" s="6" t="s">
        <v>231</v>
      </c>
      <c r="D36" s="55"/>
      <c r="E36" s="55" t="s">
        <v>164</v>
      </c>
      <c r="F36" s="55" t="s">
        <v>235</v>
      </c>
      <c r="G36" s="55" t="s">
        <v>94</v>
      </c>
      <c r="H36" s="55">
        <v>20</v>
      </c>
      <c r="I36" s="55" t="s">
        <v>143</v>
      </c>
      <c r="J36" s="54"/>
      <c r="K36" s="54" t="s">
        <v>136</v>
      </c>
      <c r="L36" s="55" t="s">
        <v>249</v>
      </c>
      <c r="M36" s="54"/>
      <c r="N36" s="54"/>
      <c r="O36" s="54"/>
      <c r="P36" s="54"/>
      <c r="Q36" s="54">
        <v>35</v>
      </c>
      <c r="R36" s="54"/>
      <c r="S36" s="54"/>
    </row>
    <row r="37" spans="1:19" s="56" customFormat="1" ht="15.75" customHeight="1" x14ac:dyDescent="0.2">
      <c r="A37" s="54" t="s">
        <v>142</v>
      </c>
      <c r="B37" s="94" t="s">
        <v>54</v>
      </c>
      <c r="C37" s="6" t="s">
        <v>231</v>
      </c>
      <c r="D37" s="55"/>
      <c r="E37" s="55" t="s">
        <v>165</v>
      </c>
      <c r="F37" s="55" t="s">
        <v>236</v>
      </c>
      <c r="G37" s="55" t="s">
        <v>95</v>
      </c>
      <c r="H37" s="55">
        <v>8</v>
      </c>
      <c r="I37" s="55" t="s">
        <v>250</v>
      </c>
      <c r="J37" s="54"/>
      <c r="K37" s="54" t="s">
        <v>126</v>
      </c>
      <c r="L37" s="55"/>
      <c r="M37" s="54"/>
      <c r="N37" s="54"/>
      <c r="O37" s="54"/>
      <c r="P37" s="54"/>
      <c r="Q37" s="54">
        <v>36</v>
      </c>
      <c r="R37" s="54"/>
      <c r="S37" s="54"/>
    </row>
    <row r="38" spans="1:19" s="56" customFormat="1" ht="25.5" customHeight="1" x14ac:dyDescent="0.2">
      <c r="A38" s="54" t="s">
        <v>142</v>
      </c>
      <c r="B38" s="55" t="s">
        <v>248</v>
      </c>
      <c r="C38" s="6" t="s">
        <v>231</v>
      </c>
      <c r="D38" s="55"/>
      <c r="E38" s="55" t="s">
        <v>165</v>
      </c>
      <c r="F38" s="55" t="s">
        <v>236</v>
      </c>
      <c r="G38" s="55" t="s">
        <v>95</v>
      </c>
      <c r="H38" s="55">
        <v>8</v>
      </c>
      <c r="I38" s="55" t="s">
        <v>250</v>
      </c>
      <c r="J38" s="54"/>
      <c r="K38" s="54" t="s">
        <v>126</v>
      </c>
      <c r="L38" s="55" t="s">
        <v>240</v>
      </c>
      <c r="M38" s="54"/>
      <c r="N38" s="54"/>
      <c r="O38" s="54"/>
      <c r="P38" s="54"/>
      <c r="Q38" s="54">
        <v>37</v>
      </c>
      <c r="R38" s="54"/>
      <c r="S38" s="54"/>
    </row>
    <row r="39" spans="1:19" s="56" customFormat="1" ht="15" customHeight="1" x14ac:dyDescent="0.2">
      <c r="A39" s="54" t="s">
        <v>142</v>
      </c>
      <c r="B39" s="55" t="s">
        <v>247</v>
      </c>
      <c r="C39" s="6" t="s">
        <v>231</v>
      </c>
      <c r="D39" s="55"/>
      <c r="E39" s="55" t="s">
        <v>165</v>
      </c>
      <c r="F39" s="55" t="s">
        <v>236</v>
      </c>
      <c r="G39" s="55" t="s">
        <v>95</v>
      </c>
      <c r="H39" s="55">
        <v>8</v>
      </c>
      <c r="I39" s="55" t="s">
        <v>250</v>
      </c>
      <c r="J39" s="54"/>
      <c r="K39" s="54" t="s">
        <v>126</v>
      </c>
      <c r="L39" s="55" t="s">
        <v>249</v>
      </c>
      <c r="M39" s="54"/>
      <c r="N39" s="54"/>
      <c r="O39" s="54"/>
      <c r="P39" s="54"/>
      <c r="Q39" s="54">
        <v>38</v>
      </c>
      <c r="R39" s="54"/>
      <c r="S39" s="54"/>
    </row>
    <row r="40" spans="1:19" s="56" customFormat="1" ht="23.25" customHeight="1" x14ac:dyDescent="0.25">
      <c r="A40" s="54" t="s">
        <v>142</v>
      </c>
      <c r="B40" s="94" t="s">
        <v>54</v>
      </c>
      <c r="C40" s="6" t="s">
        <v>231</v>
      </c>
      <c r="D40" s="55"/>
      <c r="E40" s="55" t="s">
        <v>233</v>
      </c>
      <c r="F40" s="55" t="s">
        <v>237</v>
      </c>
      <c r="G40" s="55" t="s">
        <v>94</v>
      </c>
      <c r="H40" s="55">
        <v>20</v>
      </c>
      <c r="I40" s="55" t="s">
        <v>143</v>
      </c>
      <c r="J40" s="54"/>
      <c r="K40" s="54" t="s">
        <v>136</v>
      </c>
      <c r="L40" s="55" t="s">
        <v>284</v>
      </c>
      <c r="M40" s="54"/>
      <c r="N40" s="54"/>
      <c r="O40" s="54"/>
      <c r="P40" s="54"/>
      <c r="Q40" s="54">
        <v>39</v>
      </c>
      <c r="R40" s="54"/>
      <c r="S40" s="54"/>
    </row>
    <row r="41" spans="1:19" s="56" customFormat="1" ht="39.6" customHeight="1" x14ac:dyDescent="0.25">
      <c r="A41" s="54" t="s">
        <v>142</v>
      </c>
      <c r="B41" s="55" t="s">
        <v>248</v>
      </c>
      <c r="C41" s="6" t="s">
        <v>231</v>
      </c>
      <c r="D41" s="55"/>
      <c r="E41" s="55" t="s">
        <v>233</v>
      </c>
      <c r="F41" s="55" t="s">
        <v>237</v>
      </c>
      <c r="G41" s="55" t="s">
        <v>94</v>
      </c>
      <c r="H41" s="55">
        <v>20</v>
      </c>
      <c r="I41" s="55" t="s">
        <v>143</v>
      </c>
      <c r="J41" s="54"/>
      <c r="K41" s="54" t="s">
        <v>136</v>
      </c>
      <c r="L41" s="55" t="s">
        <v>251</v>
      </c>
      <c r="M41" s="54"/>
      <c r="N41" s="54"/>
      <c r="O41" s="54"/>
      <c r="P41" s="54"/>
      <c r="Q41" s="54">
        <v>40</v>
      </c>
      <c r="R41" s="54"/>
      <c r="S41" s="54"/>
    </row>
    <row r="42" spans="1:19" s="56" customFormat="1" ht="21.75" customHeight="1" x14ac:dyDescent="0.25">
      <c r="A42" s="54" t="s">
        <v>142</v>
      </c>
      <c r="B42" s="55" t="s">
        <v>247</v>
      </c>
      <c r="C42" s="6" t="s">
        <v>231</v>
      </c>
      <c r="D42" s="55"/>
      <c r="E42" s="55" t="s">
        <v>233</v>
      </c>
      <c r="F42" s="55" t="s">
        <v>237</v>
      </c>
      <c r="G42" s="55" t="s">
        <v>94</v>
      </c>
      <c r="H42" s="55">
        <v>20</v>
      </c>
      <c r="I42" s="55" t="s">
        <v>143</v>
      </c>
      <c r="J42" s="54"/>
      <c r="K42" s="54" t="s">
        <v>136</v>
      </c>
      <c r="L42" s="55" t="s">
        <v>249</v>
      </c>
      <c r="M42" s="54"/>
      <c r="N42" s="54"/>
      <c r="O42" s="54"/>
      <c r="P42" s="54"/>
      <c r="Q42" s="54">
        <v>41</v>
      </c>
      <c r="R42" s="54"/>
      <c r="S42" s="54"/>
    </row>
    <row r="43" spans="1:19" s="56" customFormat="1" ht="15.75" customHeight="1" x14ac:dyDescent="0.2">
      <c r="A43" s="54" t="s">
        <v>142</v>
      </c>
      <c r="B43" s="94" t="s">
        <v>54</v>
      </c>
      <c r="C43" s="6" t="s">
        <v>231</v>
      </c>
      <c r="D43" s="55"/>
      <c r="E43" s="55" t="s">
        <v>234</v>
      </c>
      <c r="F43" s="55" t="s">
        <v>238</v>
      </c>
      <c r="G43" s="55" t="s">
        <v>95</v>
      </c>
      <c r="H43" s="55">
        <v>8</v>
      </c>
      <c r="I43" s="55" t="s">
        <v>250</v>
      </c>
      <c r="J43" s="54"/>
      <c r="K43" s="54" t="s">
        <v>126</v>
      </c>
      <c r="L43" s="55" t="s">
        <v>284</v>
      </c>
      <c r="M43" s="54"/>
      <c r="N43" s="54"/>
      <c r="O43" s="54"/>
      <c r="P43" s="54"/>
      <c r="Q43" s="54">
        <v>42</v>
      </c>
      <c r="R43" s="54"/>
      <c r="S43" s="54"/>
    </row>
    <row r="44" spans="1:19" s="56" customFormat="1" ht="25.5" customHeight="1" x14ac:dyDescent="0.2">
      <c r="A44" s="54" t="s">
        <v>142</v>
      </c>
      <c r="B44" s="55" t="s">
        <v>248</v>
      </c>
      <c r="C44" s="6" t="s">
        <v>231</v>
      </c>
      <c r="D44" s="55"/>
      <c r="E44" s="55" t="s">
        <v>234</v>
      </c>
      <c r="F44" s="55" t="s">
        <v>238</v>
      </c>
      <c r="G44" s="55" t="s">
        <v>95</v>
      </c>
      <c r="H44" s="55">
        <v>8</v>
      </c>
      <c r="I44" s="55" t="s">
        <v>250</v>
      </c>
      <c r="J44" s="54"/>
      <c r="K44" s="54" t="s">
        <v>126</v>
      </c>
      <c r="L44" s="55" t="s">
        <v>252</v>
      </c>
      <c r="M44" s="54"/>
      <c r="N44" s="54"/>
      <c r="O44" s="54"/>
      <c r="P44" s="54"/>
      <c r="Q44" s="54">
        <v>43</v>
      </c>
      <c r="R44" s="54"/>
      <c r="S44" s="54"/>
    </row>
    <row r="45" spans="1:19" s="56" customFormat="1" ht="21" customHeight="1" x14ac:dyDescent="0.2">
      <c r="A45" s="54" t="s">
        <v>142</v>
      </c>
      <c r="B45" s="55" t="s">
        <v>247</v>
      </c>
      <c r="C45" s="6" t="s">
        <v>231</v>
      </c>
      <c r="D45" s="55"/>
      <c r="E45" s="55" t="s">
        <v>234</v>
      </c>
      <c r="F45" s="55" t="s">
        <v>238</v>
      </c>
      <c r="G45" s="55" t="s">
        <v>95</v>
      </c>
      <c r="H45" s="55">
        <v>8</v>
      </c>
      <c r="I45" s="55" t="s">
        <v>250</v>
      </c>
      <c r="J45" s="54"/>
      <c r="K45" s="54" t="s">
        <v>126</v>
      </c>
      <c r="L45" s="55" t="s">
        <v>249</v>
      </c>
      <c r="M45" s="54"/>
      <c r="N45" s="54"/>
      <c r="O45" s="54"/>
      <c r="P45" s="54"/>
      <c r="Q45" s="54">
        <v>44</v>
      </c>
      <c r="R45" s="54"/>
      <c r="S45" s="54"/>
    </row>
    <row r="46" spans="1:19" s="56" customFormat="1" ht="18" customHeight="1" x14ac:dyDescent="0.25">
      <c r="A46" s="54" t="s">
        <v>142</v>
      </c>
      <c r="B46" s="55" t="s">
        <v>54</v>
      </c>
      <c r="C46" s="6" t="s">
        <v>231</v>
      </c>
      <c r="D46" s="55"/>
      <c r="E46" s="55" t="s">
        <v>127</v>
      </c>
      <c r="F46" s="55" t="s">
        <v>166</v>
      </c>
      <c r="G46" s="55" t="s">
        <v>94</v>
      </c>
      <c r="H46" s="55">
        <v>1</v>
      </c>
      <c r="I46" s="55" t="s">
        <v>158</v>
      </c>
      <c r="J46" s="54"/>
      <c r="K46" s="54" t="s">
        <v>136</v>
      </c>
      <c r="L46" s="55" t="s">
        <v>223</v>
      </c>
      <c r="M46" s="54"/>
      <c r="N46" s="54"/>
      <c r="O46" s="54"/>
      <c r="P46" s="54"/>
      <c r="Q46" s="54">
        <v>45</v>
      </c>
      <c r="R46" s="54"/>
      <c r="S46" s="54"/>
    </row>
    <row r="47" spans="1:19" s="56" customFormat="1" ht="15" customHeight="1" x14ac:dyDescent="0.25">
      <c r="A47" s="54" t="s">
        <v>142</v>
      </c>
      <c r="B47" s="55" t="s">
        <v>54</v>
      </c>
      <c r="C47" s="6" t="s">
        <v>231</v>
      </c>
      <c r="D47" s="55"/>
      <c r="E47" s="55" t="s">
        <v>167</v>
      </c>
      <c r="F47" s="55" t="s">
        <v>168</v>
      </c>
      <c r="G47" s="55" t="s">
        <v>95</v>
      </c>
      <c r="H47" s="55">
        <v>8</v>
      </c>
      <c r="I47" s="55" t="s">
        <v>169</v>
      </c>
      <c r="J47" s="54"/>
      <c r="K47" s="54" t="s">
        <v>136</v>
      </c>
      <c r="L47" s="55" t="s">
        <v>170</v>
      </c>
      <c r="M47" s="54"/>
      <c r="N47" s="54"/>
      <c r="O47" s="54"/>
      <c r="P47" s="54"/>
      <c r="Q47" s="54">
        <v>46</v>
      </c>
      <c r="R47" s="54"/>
      <c r="S47" s="54"/>
    </row>
  </sheetData>
  <autoFilter ref="B1:C86"/>
  <dataValidations count="12">
    <dataValidation type="custom" allowBlank="1" showInputMessage="1" showErrorMessage="1" errorTitle="CT Name is not correct" error="The Controlled Terminology Name is either longer than 32 characters or contains one of the following special characters:_x000a_&quot;_x000a_'_x000a_blanks_x000a_&lt;_x000a_&gt;_x000a_&amp;" sqref="J18:J20 J16 J22:J65467 J2:J13">
      <formula1>AND(ISERROR(FIND("&lt;",cellhelp)),ISERROR(FIND("&gt;",cellhelp)),ISERROR(FIND("’",cellhelp)),ISERROR(FIND("&amp;",cellhelp)),ISERROR(FIND(" ",cellhelp)),ISERROR(FIND("""",cellhelp)),LEN(cellhelp)&lt;33)</formula1>
    </dataValidation>
    <dataValidation type="custom" allowBlank="1" showInputMessage="1" showErrorMessage="1" errorTitle="CT Name is not correct" error="The Controlled Terminology Name is either longer than 8 characters or contains one of the following special characters:_x000a_&quot;_x000a_'_x000a_blanks_x000a_&lt;_x000a_&gt;_x000a_&amp;" sqref="J17 J21">
      <formula1>AND(ISERROR(FIND("&lt;",cellhelp)),ISERROR(FIND("&gt;",cellhelp)),ISERROR(FIND("’",cellhelp)),ISERROR(FIND("&amp;",cellhelp)),ISERROR(FIND(" ",cellhelp)),ISERROR(FIND("""",cellhelp)),LEN(cellhelp)&lt;9)</formula1>
    </dataValidation>
    <dataValidation allowBlank="1" showInputMessage="1" showErrorMessage="1" errorTitle="Key sequence is not an integer" error="Please use only numeric integer values in the key sequence." sqref="D1"/>
    <dataValidation type="custom" allowBlank="1" showInputMessage="1" showErrorMessage="1" errorTitle="Dataset name is not correct" error="The Dataset name is either longer than 8 characters or contains one of the following special characters:_x000a_&quot;_x000a_'_x000a_blanks_x000a_&lt;_x000a_&gt;_x000a_&amp;" sqref="A2:A65467">
      <formula1>AND(ISERROR(FIND("&lt;",cellhelp)),ISERROR(FIND("&gt;",cellhelp)),ISERROR(FIND("’",cellhelp)),ISERROR(FIND("&amp;",cellhelp)),ISERROR(FIND(" ",cellhelp)),ISERROR(FIND("""",cellhelp)),LEN(cellhelp)&lt;9)</formula1>
    </dataValidation>
    <dataValidation type="custom" allowBlank="1" showInputMessage="1" showErrorMessage="1" errorTitle="Variable name is not correct" error="The variable name is either longer than 8 characters or contains one of the following special characters:_x000a_&quot;_x000a_'_x000a_blanks_x000a_&lt;_x000a_&gt;_x000a_&amp;" sqref="E2:E65467">
      <formula1>AND(ISERROR(FIND("&lt;",cellhelp)),ISERROR(FIND("&gt;",cellhelp)),ISERROR(FIND("’",cellhelp)),ISERROR(FIND("&amp;",cellhelp)),ISERROR(FIND(" ",cellhelp)),ISERROR(FIND("""",cellhelp)),LEN(cellhelp)&lt;9)</formula1>
    </dataValidation>
    <dataValidation type="textLength" operator="lessThan" showInputMessage="1" showErrorMessage="1" errorTitle="Text ist too long" error="The maximun length of Variable Labels is restricted to 40 characters. Please try it again with less characters." sqref="F2:F65467">
      <formula1>41</formula1>
    </dataValidation>
    <dataValidation type="custom" allowBlank="1" showInputMessage="1" showErrorMessage="1" errorTitle="Variable length is not numeric" error="Please use only numeric values in the variable length." sqref="H2:H65467">
      <formula1>ISNUMBER(cellhelp)</formula1>
    </dataValidation>
    <dataValidation type="custom" allowBlank="1" showInputMessage="1" showErrorMessage="1" errorTitle="Variable format is not correct" error="The variable format contains one of the following special characters:_x000a_&quot;_x000a_'_x000a_blanks_x000a_&lt;_x000a_&gt;_x000a_&amp;" sqref="I2:I65467">
      <formula1>AND(ISERROR(FIND("&lt;",cellhelp)),ISERROR(FIND("&gt;",cellhelp)),ISERROR(FIND("’",cellhelp)),ISERROR(FIND("&amp;",cellhelp)),ISERROR(FIND(" ",cellhelp)),ISERROR(FIND("""",cellhelp)))</formula1>
    </dataValidation>
    <dataValidation type="custom" allowBlank="1" showInputMessage="1" showErrorMessage="1" errorTitle="Variable order is not numeric" error="Please use only numeric values in the variable order." sqref="Q2:Q65467">
      <formula1>ISNUMBER(cellhelp)</formula1>
    </dataValidation>
    <dataValidation type="list" allowBlank="1" showInputMessage="1" showErrorMessage="1" errorTitle="Wrong Variable Type" error="Variables can only have the types text, integer, float, date, datetime, time, partialDate, partialTime, partialDatetime, incompleteDatetime or durationDatetime. Please choose one of these types." sqref="G2:G65467">
      <formula1>"text,integer,float,date,datetime,time,partialDate,partialTime,partialDatetime,incompleteDatetime,durationDatetime"</formula1>
    </dataValidation>
    <dataValidation type="list" allowBlank="1" showInputMessage="1" showErrorMessage="1" errorTitle="Wrong Origin" error="The Origin should either be Predecessor, Assigned or Derived. Please choose one of these origins." sqref="K2:K1048576">
      <formula1>"Predecessor,Assigned,Derived"</formula1>
    </dataValidation>
    <dataValidation type="custom" allowBlank="1" showInputMessage="1" showErrorMessage="1" errorTitle="Key sequence is not an integer" error="Please use only numeric integer values in the key sequence." sqref="D2:D1048576">
      <formula1>INT(cellhelp)=cellhelp</formula1>
    </dataValidation>
  </dataValidations>
  <printOptions headings="1"/>
  <pageMargins left="0.70866141732283472" right="0.70866141732283472" top="0.98425196850393704" bottom="0.98425196850393704" header="0.70866141732283472" footer="0.70866141732283472"/>
  <pageSetup paperSize="9" scale="76" fitToWidth="2" fitToHeight="0" pageOrder="overThenDown" orientation="landscape" r:id="rId1"/>
  <headerFooter>
    <oddHeader>&amp;LProject Analaysis Dataset Template&amp;RADBDSmin</oddHeader>
    <oddFooter>&amp;LPage &amp;P of &amp;N&amp;R&amp;8 &amp;K00-048001-MCG-410_RD-07 (1.0) / saved on: 08 Oct 2015</oddFooter>
  </headerFooter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7"/>
  <sheetViews>
    <sheetView workbookViewId="0">
      <selection activeCell="D28" sqref="D28"/>
    </sheetView>
  </sheetViews>
  <sheetFormatPr defaultRowHeight="12.75" x14ac:dyDescent="0.2"/>
  <cols>
    <col min="1" max="1" width="24.85546875" customWidth="1"/>
    <col min="2" max="2" width="48.5703125" customWidth="1"/>
  </cols>
  <sheetData>
    <row r="1" spans="1:2" ht="25.5" x14ac:dyDescent="0.2">
      <c r="A1" s="78" t="s">
        <v>19</v>
      </c>
      <c r="B1" s="79" t="s">
        <v>64</v>
      </c>
    </row>
    <row r="2" spans="1:2" ht="15" x14ac:dyDescent="0.25">
      <c r="A2" t="s">
        <v>74</v>
      </c>
      <c r="B2" s="98" t="s">
        <v>296</v>
      </c>
    </row>
    <row r="3" spans="1:2" ht="15" x14ac:dyDescent="0.25">
      <c r="A3" t="s">
        <v>297</v>
      </c>
      <c r="B3" s="98" t="s">
        <v>298</v>
      </c>
    </row>
    <row r="4" spans="1:2" ht="15" x14ac:dyDescent="0.25">
      <c r="A4" t="s">
        <v>299</v>
      </c>
      <c r="B4" s="98" t="s">
        <v>300</v>
      </c>
    </row>
    <row r="5" spans="1:2" ht="15" x14ac:dyDescent="0.2">
      <c r="A5" t="s">
        <v>301</v>
      </c>
      <c r="B5" s="99" t="s">
        <v>300</v>
      </c>
    </row>
    <row r="6" spans="1:2" ht="15" x14ac:dyDescent="0.25">
      <c r="A6" t="s">
        <v>302</v>
      </c>
      <c r="B6" s="98" t="s">
        <v>303</v>
      </c>
    </row>
    <row r="7" spans="1:2" ht="15" x14ac:dyDescent="0.2">
      <c r="A7" t="s">
        <v>304</v>
      </c>
      <c r="B7" s="99" t="s">
        <v>305</v>
      </c>
    </row>
    <row r="8" spans="1:2" ht="15" x14ac:dyDescent="0.25">
      <c r="A8" t="s">
        <v>306</v>
      </c>
      <c r="B8" s="98" t="s">
        <v>307</v>
      </c>
    </row>
    <row r="9" spans="1:2" ht="15" x14ac:dyDescent="0.25">
      <c r="A9" t="s">
        <v>308</v>
      </c>
      <c r="B9" s="98" t="s">
        <v>309</v>
      </c>
    </row>
    <row r="10" spans="1:2" ht="15" x14ac:dyDescent="0.2">
      <c r="A10" t="s">
        <v>310</v>
      </c>
      <c r="B10" s="99" t="s">
        <v>311</v>
      </c>
    </row>
    <row r="11" spans="1:2" ht="15" x14ac:dyDescent="0.25">
      <c r="A11" t="s">
        <v>312</v>
      </c>
      <c r="B11" s="98" t="s">
        <v>313</v>
      </c>
    </row>
    <row r="12" spans="1:2" ht="15" x14ac:dyDescent="0.25">
      <c r="A12" t="s">
        <v>314</v>
      </c>
      <c r="B12" s="98" t="s">
        <v>315</v>
      </c>
    </row>
    <row r="13" spans="1:2" ht="15" x14ac:dyDescent="0.25">
      <c r="A13" t="s">
        <v>92</v>
      </c>
      <c r="B13" s="98" t="s">
        <v>316</v>
      </c>
    </row>
    <row r="14" spans="1:2" ht="15" x14ac:dyDescent="0.25">
      <c r="A14" t="s">
        <v>186</v>
      </c>
      <c r="B14" s="98" t="s">
        <v>317</v>
      </c>
    </row>
    <row r="15" spans="1:2" ht="15" x14ac:dyDescent="0.2">
      <c r="A15" t="s">
        <v>318</v>
      </c>
      <c r="B15" s="100" t="s">
        <v>319</v>
      </c>
    </row>
    <row r="16" spans="1:2" ht="15" x14ac:dyDescent="0.25">
      <c r="A16" t="s">
        <v>320</v>
      </c>
      <c r="B16" s="98" t="s">
        <v>321</v>
      </c>
    </row>
    <row r="17" spans="1:2" ht="15" x14ac:dyDescent="0.25">
      <c r="A17" t="s">
        <v>322</v>
      </c>
      <c r="B17" s="98" t="s">
        <v>323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DF295036ACE464B816BDB775B2035CA" ma:contentTypeVersion="11" ma:contentTypeDescription="Create a new document." ma:contentTypeScope="" ma:versionID="a0eb6d1f46cab6de4e6e2c917fbdaebb">
  <xsd:schema xmlns:xsd="http://www.w3.org/2001/XMLSchema" xmlns:xs="http://www.w3.org/2001/XMLSchema" xmlns:p="http://schemas.microsoft.com/office/2006/metadata/properties" xmlns:ns2="73890ae0-4b45-4981-9103-6165e0228b47" xmlns:ns3="a9300e12-7dc4-4a8c-838a-aa5621593371" targetNamespace="http://schemas.microsoft.com/office/2006/metadata/properties" ma:root="true" ma:fieldsID="39fa016a0d1112dfb7afff6ee5f12cd4" ns2:_="" ns3:_="">
    <xsd:import namespace="73890ae0-4b45-4981-9103-6165e0228b47"/>
    <xsd:import namespace="a9300e12-7dc4-4a8c-838a-aa562159337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3890ae0-4b45-4981-9103-6165e0228b4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9300e12-7dc4-4a8c-838a-aa5621593371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E434209-EE01-43ED-B341-0198D45BB2F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4693CFA-4A84-4B83-A6B0-6E18CD467943}">
  <ds:schemaRefs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73890ae0-4b45-4981-9103-6165e0228b47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CE33D374-3DB2-4F27-A946-47BD768C0385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START</vt:lpstr>
      <vt:lpstr>ADPA!Print_Area</vt:lpstr>
      <vt:lpstr>Header!Print_Area</vt:lpstr>
      <vt:lpstr>ADPA!Print_Titles</vt:lpstr>
      <vt:lpstr>CT!Print_Titles</vt:lpstr>
    </vt:vector>
  </TitlesOfParts>
  <Company>Accovion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Bogojoski,Renate (gBCA) BIP-DE-B</dc:creator>
  <cp:lastModifiedBy>Deng,Dr.,Qiqi (MED BDS) BIP-US-R</cp:lastModifiedBy>
  <cp:lastPrinted>2015-10-08T06:59:04Z</cp:lastPrinted>
  <dcterms:created xsi:type="dcterms:W3CDTF">2011-08-31T07:33:11Z</dcterms:created>
  <dcterms:modified xsi:type="dcterms:W3CDTF">2020-08-04T00:42:11Z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ContentTypeId">
    <vt:lpwstr>0x0101006DF295036ACE464B816BDB775B2035CA</vt:lpwstr>
  </property>
  <property fmtid="{D5CDD505-2E9C-101B-9397-08002B2CF9AE}" pid="4" name="Order">
    <vt:r8>4900</vt:r8>
  </property>
  <property fmtid="{D5CDD505-2E9C-101B-9397-08002B2CF9AE}" pid="5" name="ComplianceAssetId">
    <vt:lpwstr/>
  </property>
</Properties>
</file>